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ie\Documents\GitHub\Yajuego\"/>
    </mc:Choice>
  </mc:AlternateContent>
  <xr:revisionPtr revIDLastSave="0" documentId="13_ncr:1_{0606798F-85DE-42D7-9509-E2C8810E18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 DE PIEZAS" sheetId="1" r:id="rId1"/>
    <sheet name="MEDIDAS Y REQUISITOS" sheetId="3" r:id="rId2"/>
  </sheets>
  <definedNames>
    <definedName name="_xlnm._FilterDatabase" localSheetId="0" hidden="1">'PLAN DE PIEZAS'!$B$4:$K$25</definedName>
    <definedName name="_xlnm.Print_Area" localSheetId="1">'MEDIDAS Y REQUISITOS'!$B$2:$F$12</definedName>
    <definedName name="_xlnm.Print_Area" localSheetId="0">'PLAN DE PIEZAS'!$B$2:$K$26</definedName>
    <definedName name="_xlnm.Print_Titles" localSheetId="0">'PLAN DE PIEZAS'!$4:$5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I23" i="1"/>
  <c r="H23" i="1"/>
  <c r="K22" i="1"/>
  <c r="K21" i="1"/>
  <c r="K20" i="1"/>
  <c r="J17" i="1"/>
  <c r="I17" i="1"/>
  <c r="H17" i="1"/>
  <c r="K16" i="1"/>
  <c r="K15" i="1"/>
  <c r="K14" i="1"/>
  <c r="J11" i="1"/>
  <c r="I11" i="1"/>
  <c r="H11" i="1"/>
  <c r="K10" i="1"/>
  <c r="K9" i="1"/>
  <c r="K8" i="1"/>
  <c r="K7" i="1"/>
  <c r="K17" i="1" l="1"/>
  <c r="I25" i="1"/>
  <c r="J25" i="1"/>
  <c r="H25" i="1"/>
  <c r="K23" i="1"/>
  <c r="K11" i="1"/>
  <c r="K25" i="1" l="1"/>
</calcChain>
</file>

<file path=xl/sharedStrings.xml><?xml version="1.0" encoding="utf-8"?>
<sst xmlns="http://schemas.openxmlformats.org/spreadsheetml/2006/main" count="105" uniqueCount="78">
  <si>
    <t>CUADRO DE MATERIALES | YAJUEGO · FLOW AGO–DIC + INFLUENCERS</t>
  </si>
  <si>
    <t>Programmatic + TikTok Conversion + Influencers | 16 conceptos/paquetes · 48 archivos finales</t>
  </si>
  <si>
    <t>MOMENTO</t>
  </si>
  <si>
    <t>CANAL</t>
  </si>
  <si>
    <t>MEDIO / TIPO</t>
  </si>
  <si>
    <t>OBJETIVO Y TEMA</t>
  </si>
  <si>
    <t>DESARROLLO SOLICITADO</t>
  </si>
  <si>
    <t>MEDIDAS / CONDICIÓN</t>
  </si>
  <si>
    <t>CANTIDAD DE ARCHIVOS FINALES</t>
  </si>
  <si>
    <t>DISPLAY</t>
  </si>
  <si>
    <t>PUSH</t>
  </si>
  <si>
    <t>VIDEO VERTICAL</t>
  </si>
  <si>
    <t>TOTAL</t>
  </si>
  <si>
    <t>1. BASE CONTINUA · AGOSTO A OCTUBRE</t>
  </si>
  <si>
    <t>BASE CONTINUA
AGO–OCT</t>
  </si>
  <si>
    <t>PROGRAMMATIC</t>
  </si>
  <si>
    <t>Display contextual</t>
  </si>
  <si>
    <t>Reconstruir audiencias y sostener presencia en contenido deportivo.</t>
  </si>
  <si>
    <t>KV base: “Cuotas que mueven el partido” + CTA “Regístrate y juega”.</t>
  </si>
  <si>
    <t>1 concepto × 4 tamaños:
300×250 · 300×600
728×90 · 320×50</t>
  </si>
  <si>
    <t>Remarketing</t>
  </si>
  <si>
    <t>Convertir usuarios expuestos a Liga BetPlay y Champions.</t>
  </si>
  <si>
    <t>KV de retorno con CTA a registro o depósito; sin promesa de ganancia.</t>
  </si>
  <si>
    <t>Push</t>
  </si>
  <si>
    <t>Activar antes de partidos y ventanas live.</t>
  </si>
  <si>
    <t>2 mensajes tácticos reutilizables: partido del día y cuota/bono.</t>
  </si>
  <si>
    <t>Copy corto + CTA + imagen maestra.
Medida final por confirmar con DSP.</t>
  </si>
  <si>
    <t>TIKTOK</t>
  </si>
  <si>
    <t>Conversion Ads</t>
  </si>
  <si>
    <t>Registro y depósito sobre audiencias calientes.</t>
  </si>
  <si>
    <t>2 videos: “Apuesta el clásico” y beneficio/bono con CTA directo.</t>
  </si>
  <si>
    <t>1080×1920 px · 9:16
Sound-on · safe zones
CTA directo a registro</t>
  </si>
  <si>
    <t>TOTAL AGOSTO A OCTUBRE</t>
  </si>
  <si>
    <t>2. PICO CONMEBOL · NOVIEMBRE</t>
  </si>
  <si>
    <t>PICO CONMEBOL
NOVIEMBRE</t>
  </si>
  <si>
    <t>Display + Remarketing</t>
  </si>
  <si>
    <t>Finales Libertadores y Sudamericana: consideración y conversión.</t>
  </si>
  <si>
    <t>Un KV Conmebol con versión contextual y CTA de remarketing.</t>
  </si>
  <si>
    <t>Activar previa y ventana live.</t>
  </si>
  <si>
    <t>2 mensajes: previa de final y última llamada antes del partido.</t>
  </si>
  <si>
    <t>Capturar intención durante las finales.</t>
  </si>
  <si>
    <t>2 videos verticales: previa/pick y CTA de registro o depósito.</t>
  </si>
  <si>
    <t>INFLUENCERS</t>
  </si>
  <si>
    <t>TOTAL NOVIEMBRE</t>
  </si>
  <si>
    <t>3. CIERRE LIGA BETPLAY · DICIEMBRE 1–13</t>
  </si>
  <si>
    <t>CIERRE LIGA
DIC. 1–13</t>
  </si>
  <si>
    <t>Cuadrangulares y cierre Liga BetPlay: push de conversión.</t>
  </si>
  <si>
    <t>Un KV de cierre Liga con versión contextual y CTA de remarketing.</t>
  </si>
  <si>
    <t>Urgencia antes de los partidos decisivos.</t>
  </si>
  <si>
    <t>2 mensajes: previa decisiva y última llamada.</t>
  </si>
  <si>
    <t>Registro y depósito en la última ventana del plan.</t>
  </si>
  <si>
    <t>2 videos verticales: partido decisivo y cierre del flow.</t>
  </si>
  <si>
    <t>TOTAL DICIEMBRE 1–13</t>
  </si>
  <si>
    <t>TOTAL SOLICITADO</t>
  </si>
  <si>
    <t>MEDIDAS Y REQUISITOS DE PRODUCCIÓN</t>
  </si>
  <si>
    <t>Flow Ago–Dic 2026 + Influencers</t>
  </si>
  <si>
    <t>FORMATO</t>
  </si>
  <si>
    <t>MEDIDA / ENTREGA</t>
  </si>
  <si>
    <t>REQUISITOS</t>
  </si>
  <si>
    <t>QUÉ CUENTA COMO MATERIAL</t>
  </si>
  <si>
    <t>Display</t>
  </si>
  <si>
    <t>300×250 · 300×600
728×90 · 320×50</t>
  </si>
  <si>
    <t>Mismo concepto y CTA adaptado a cada tamaño. Juego responsable y +18.</t>
  </si>
  <si>
    <t>4 archivos finales por display pack.</t>
  </si>
  <si>
    <t>Copy + CTA + imagen maestra
Medida según DSP</t>
  </si>
  <si>
    <t>Mensaje táctico previo al partido. Validar caracteres y formato con el proveedor.</t>
  </si>
  <si>
    <t>1 mensaje final por variante.</t>
  </si>
  <si>
    <t>Conversion Ad</t>
  </si>
  <si>
    <t>1080×1920 px · 9:16
Video vertical</t>
  </si>
  <si>
    <t>Sound-on, safe zones, CTA a registro/depósito, juego responsable y +18.</t>
  </si>
  <si>
    <t>1 video vertical final.</t>
  </si>
  <si>
    <t>Content / Spark Ad</t>
  </si>
  <si>
    <t>Estilo nativo, código/UTM, promo code, #Ad, +18 y aprobación previa.</t>
  </si>
  <si>
    <t>1 video final por creator.</t>
  </si>
  <si>
    <t>Historia</t>
  </si>
  <si>
    <t>1080×1920 px · 9:16</t>
  </si>
  <si>
    <t>CTA, código/UTM, #Ad, +18 y juego responsable.</t>
  </si>
  <si>
    <t>1 historia final; secuencias adicionales requieren ajuste.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</si>
</sst>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5"/>
      <color rgb="FFFFFFFF"/>
      <name val="Montserrat"/>
    </font>
    <font>
      <b/>
      <sz val="10"/>
      <color rgb="FF111111"/>
      <name val="Montserrat"/>
    </font>
    <font>
      <b/>
      <sz val="9"/>
      <color rgb="FF111111"/>
      <name val="Montserrat"/>
    </font>
    <font>
      <b/>
      <sz val="11"/>
      <color rgb="FFFFFFFF"/>
      <name val="Montserrat"/>
    </font>
    <font>
      <b/>
      <sz val="8"/>
      <color rgb="FFFFFFFF"/>
      <name val="Montserrat"/>
    </font>
    <font>
      <b/>
      <sz val="10"/>
      <color rgb="FFFFFFFF"/>
      <name val="Montserrat"/>
    </font>
    <font>
      <sz val="8"/>
      <color rgb="FF262626"/>
      <name val="Poppins"/>
    </font>
    <font>
      <b/>
      <sz val="9"/>
      <color rgb="FFFFFFFF"/>
      <name val="Montserrat"/>
    </font>
    <font>
      <b/>
      <sz val="11"/>
      <color rgb="FF262626"/>
      <name val="Montserrat"/>
    </font>
    <font>
      <sz val="11"/>
      <color rgb="FF262626"/>
      <name val="Montserrat"/>
    </font>
    <font>
      <b/>
      <sz val="13"/>
      <color rgb="FF111111"/>
      <name val="Montserrat"/>
    </font>
    <font>
      <sz val="9"/>
      <color rgb="FF262626"/>
      <name val="Poppins"/>
    </font>
  </fonts>
  <fills count="14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FD200"/>
      </patternFill>
    </fill>
    <fill>
      <patternFill patternType="solid">
        <fgColor rgb="FF858B93"/>
      </patternFill>
    </fill>
    <fill>
      <patternFill patternType="solid">
        <fgColor rgb="FF262626"/>
      </patternFill>
    </fill>
    <fill>
      <patternFill patternType="solid">
        <fgColor rgb="FF1464F4"/>
      </patternFill>
    </fill>
    <fill>
      <patternFill patternType="solid">
        <fgColor rgb="FFFFFFFF"/>
      </patternFill>
    </fill>
    <fill>
      <patternFill patternType="solid">
        <fgColor rgb="FF7F3FBF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00A651"/>
      </patternFill>
    </fill>
    <fill>
      <patternFill patternType="solid">
        <fgColor rgb="FF00A6C8"/>
      </patternFill>
    </fill>
    <fill>
      <patternFill patternType="solid">
        <fgColor rgb="FFF28C2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righ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25"/>
  <sheetViews>
    <sheetView showGridLines="0" tabSelected="1" workbookViewId="0">
      <pane xSplit="7" ySplit="6" topLeftCell="H7" activePane="bottomRight" state="frozen"/>
      <selection pane="topRight"/>
      <selection pane="bottomLeft"/>
      <selection pane="bottomRight" activeCell="E21" sqref="E21"/>
    </sheetView>
  </sheetViews>
  <sheetFormatPr baseColWidth="10" defaultColWidth="9.140625" defaultRowHeight="15" x14ac:dyDescent="0.25"/>
  <cols>
    <col min="1" max="1" width="2" customWidth="1"/>
    <col min="2" max="2" width="20" customWidth="1"/>
    <col min="3" max="3" width="17" customWidth="1"/>
    <col min="4" max="4" width="22" customWidth="1"/>
    <col min="5" max="5" width="30" customWidth="1"/>
    <col min="6" max="6" width="31" customWidth="1"/>
    <col min="7" max="7" width="29" customWidth="1"/>
    <col min="8" max="8" width="11" customWidth="1"/>
    <col min="9" max="9" width="10" customWidth="1"/>
    <col min="10" max="10" width="16" customWidth="1"/>
    <col min="11" max="11" width="10" customWidth="1"/>
  </cols>
  <sheetData>
    <row r="2" spans="2:11" ht="33.950000000000003" customHeight="1" x14ac:dyDescent="0.25"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</row>
    <row r="3" spans="2:11" ht="26.1" customHeight="1" x14ac:dyDescent="0.25">
      <c r="B3" s="21" t="s">
        <v>1</v>
      </c>
      <c r="C3" s="15"/>
      <c r="D3" s="15"/>
      <c r="E3" s="15"/>
      <c r="F3" s="15"/>
      <c r="G3" s="15"/>
      <c r="H3" s="15"/>
      <c r="I3" s="15"/>
      <c r="J3" s="15"/>
      <c r="K3" s="15"/>
    </row>
    <row r="4" spans="2:11" ht="27.95" customHeight="1" x14ac:dyDescent="0.25">
      <c r="B4" s="16" t="s">
        <v>2</v>
      </c>
      <c r="C4" s="16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22" t="s">
        <v>8</v>
      </c>
      <c r="I4" s="15"/>
      <c r="J4" s="15"/>
      <c r="K4" s="15"/>
    </row>
    <row r="5" spans="2:11" ht="27.95" customHeight="1" x14ac:dyDescent="0.25">
      <c r="B5" s="15"/>
      <c r="C5" s="15"/>
      <c r="D5" s="15"/>
      <c r="E5" s="15"/>
      <c r="F5" s="15"/>
      <c r="G5" s="15"/>
      <c r="H5" s="2" t="s">
        <v>9</v>
      </c>
      <c r="I5" s="2" t="s">
        <v>10</v>
      </c>
      <c r="J5" s="2" t="s">
        <v>11</v>
      </c>
      <c r="K5" s="2" t="s">
        <v>12</v>
      </c>
    </row>
    <row r="6" spans="2:11" x14ac:dyDescent="0.25">
      <c r="B6" s="17" t="s">
        <v>13</v>
      </c>
      <c r="C6" s="15"/>
      <c r="D6" s="15"/>
      <c r="E6" s="15"/>
      <c r="F6" s="15"/>
      <c r="G6" s="15"/>
      <c r="H6" s="15"/>
      <c r="I6" s="15"/>
      <c r="J6" s="15"/>
      <c r="K6" s="15"/>
    </row>
    <row r="7" spans="2:11" ht="68.099999999999994" customHeight="1" x14ac:dyDescent="0.25">
      <c r="B7" s="24" t="s">
        <v>14</v>
      </c>
      <c r="C7" s="3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5">
        <v>4</v>
      </c>
      <c r="I7" s="6">
        <v>0</v>
      </c>
      <c r="J7" s="6">
        <v>0</v>
      </c>
      <c r="K7" s="7">
        <f>SUM(H7:J7)</f>
        <v>4</v>
      </c>
    </row>
    <row r="8" spans="2:11" ht="68.099999999999994" customHeight="1" x14ac:dyDescent="0.25">
      <c r="B8" s="15"/>
      <c r="C8" s="3" t="s">
        <v>15</v>
      </c>
      <c r="D8" s="4" t="s">
        <v>20</v>
      </c>
      <c r="E8" s="4" t="s">
        <v>21</v>
      </c>
      <c r="F8" s="4" t="s">
        <v>22</v>
      </c>
      <c r="G8" s="4" t="s">
        <v>19</v>
      </c>
      <c r="H8" s="5">
        <v>4</v>
      </c>
      <c r="I8" s="6">
        <v>0</v>
      </c>
      <c r="J8" s="6">
        <v>0</v>
      </c>
      <c r="K8" s="7">
        <f>SUM(H8:J8)</f>
        <v>4</v>
      </c>
    </row>
    <row r="9" spans="2:11" ht="68.099999999999994" customHeight="1" x14ac:dyDescent="0.25">
      <c r="B9" s="15"/>
      <c r="C9" s="3" t="s">
        <v>15</v>
      </c>
      <c r="D9" s="4" t="s">
        <v>23</v>
      </c>
      <c r="E9" s="4" t="s">
        <v>24</v>
      </c>
      <c r="F9" s="4" t="s">
        <v>25</v>
      </c>
      <c r="G9" s="4" t="s">
        <v>26</v>
      </c>
      <c r="H9" s="6">
        <v>0</v>
      </c>
      <c r="I9" s="5">
        <v>2</v>
      </c>
      <c r="J9" s="6">
        <v>0</v>
      </c>
      <c r="K9" s="7">
        <f>SUM(H9:J9)</f>
        <v>2</v>
      </c>
    </row>
    <row r="10" spans="2:11" ht="68.099999999999994" customHeight="1" x14ac:dyDescent="0.25">
      <c r="B10" s="15"/>
      <c r="C10" s="8" t="s">
        <v>27</v>
      </c>
      <c r="D10" s="4" t="s">
        <v>28</v>
      </c>
      <c r="E10" s="4" t="s">
        <v>29</v>
      </c>
      <c r="F10" s="4" t="s">
        <v>30</v>
      </c>
      <c r="G10" s="4" t="s">
        <v>31</v>
      </c>
      <c r="H10" s="6">
        <v>0</v>
      </c>
      <c r="I10" s="6">
        <v>0</v>
      </c>
      <c r="J10" s="5">
        <v>2</v>
      </c>
      <c r="K10" s="7">
        <f>SUM(H10:J10)</f>
        <v>2</v>
      </c>
    </row>
    <row r="11" spans="2:11" ht="24" customHeight="1" x14ac:dyDescent="0.25">
      <c r="B11" s="18" t="s">
        <v>32</v>
      </c>
      <c r="C11" s="15"/>
      <c r="D11" s="15"/>
      <c r="E11" s="15"/>
      <c r="F11" s="15"/>
      <c r="G11" s="15"/>
      <c r="H11" s="9">
        <f t="shared" ref="H11:K11" si="0">SUM(H7:H10)</f>
        <v>8</v>
      </c>
      <c r="I11" s="9">
        <f t="shared" si="0"/>
        <v>2</v>
      </c>
      <c r="J11" s="9">
        <f t="shared" si="0"/>
        <v>2</v>
      </c>
      <c r="K11" s="10">
        <f t="shared" si="0"/>
        <v>12</v>
      </c>
    </row>
    <row r="13" spans="2:11" x14ac:dyDescent="0.25">
      <c r="B13" s="17" t="s">
        <v>33</v>
      </c>
      <c r="C13" s="15"/>
      <c r="D13" s="15"/>
      <c r="E13" s="15"/>
      <c r="F13" s="15"/>
      <c r="G13" s="15"/>
      <c r="H13" s="15"/>
      <c r="I13" s="15"/>
      <c r="J13" s="15"/>
      <c r="K13" s="15"/>
    </row>
    <row r="14" spans="2:11" ht="68.099999999999994" customHeight="1" x14ac:dyDescent="0.25">
      <c r="B14" s="19" t="s">
        <v>34</v>
      </c>
      <c r="C14" s="3" t="s">
        <v>15</v>
      </c>
      <c r="D14" s="4" t="s">
        <v>35</v>
      </c>
      <c r="E14" s="4" t="s">
        <v>36</v>
      </c>
      <c r="F14" s="4" t="s">
        <v>37</v>
      </c>
      <c r="G14" s="4" t="s">
        <v>19</v>
      </c>
      <c r="H14" s="5">
        <v>4</v>
      </c>
      <c r="I14" s="6">
        <v>0</v>
      </c>
      <c r="J14" s="6">
        <v>0</v>
      </c>
      <c r="K14" s="7">
        <f>SUM(H14:J14)</f>
        <v>4</v>
      </c>
    </row>
    <row r="15" spans="2:11" ht="68.099999999999994" customHeight="1" x14ac:dyDescent="0.25">
      <c r="B15" s="15"/>
      <c r="C15" s="3" t="s">
        <v>15</v>
      </c>
      <c r="D15" s="4" t="s">
        <v>23</v>
      </c>
      <c r="E15" s="4" t="s">
        <v>38</v>
      </c>
      <c r="F15" s="4" t="s">
        <v>39</v>
      </c>
      <c r="G15" s="4" t="s">
        <v>26</v>
      </c>
      <c r="H15" s="6">
        <v>0</v>
      </c>
      <c r="I15" s="5">
        <v>2</v>
      </c>
      <c r="J15" s="6">
        <v>0</v>
      </c>
      <c r="K15" s="7">
        <f>SUM(H15:J15)</f>
        <v>2</v>
      </c>
    </row>
    <row r="16" spans="2:11" ht="68.099999999999994" customHeight="1" x14ac:dyDescent="0.25">
      <c r="B16" s="15"/>
      <c r="C16" s="8" t="s">
        <v>27</v>
      </c>
      <c r="D16" s="4" t="s">
        <v>28</v>
      </c>
      <c r="E16" s="4" t="s">
        <v>40</v>
      </c>
      <c r="F16" s="4" t="s">
        <v>41</v>
      </c>
      <c r="G16" s="4" t="s">
        <v>31</v>
      </c>
      <c r="H16" s="6">
        <v>0</v>
      </c>
      <c r="I16" s="6">
        <v>0</v>
      </c>
      <c r="J16" s="5">
        <v>2</v>
      </c>
      <c r="K16" s="7">
        <f>SUM(H16:J16)</f>
        <v>2</v>
      </c>
    </row>
    <row r="17" spans="2:11" ht="24" customHeight="1" x14ac:dyDescent="0.25">
      <c r="B17" s="18" t="s">
        <v>43</v>
      </c>
      <c r="C17" s="15"/>
      <c r="D17" s="15"/>
      <c r="E17" s="15"/>
      <c r="F17" s="15"/>
      <c r="G17" s="15"/>
      <c r="H17" s="9">
        <f>SUM(H14:H16)</f>
        <v>4</v>
      </c>
      <c r="I17" s="9">
        <f>SUM(I14:I16)</f>
        <v>2</v>
      </c>
      <c r="J17" s="9">
        <f>SUM(J14:J16)</f>
        <v>2</v>
      </c>
      <c r="K17" s="10">
        <f>SUM(K14:K16)</f>
        <v>8</v>
      </c>
    </row>
    <row r="19" spans="2:11" x14ac:dyDescent="0.25">
      <c r="B19" s="17" t="s">
        <v>44</v>
      </c>
      <c r="C19" s="15"/>
      <c r="D19" s="15"/>
      <c r="E19" s="15"/>
      <c r="F19" s="15"/>
      <c r="G19" s="15"/>
      <c r="H19" s="15"/>
      <c r="I19" s="15"/>
      <c r="J19" s="15"/>
      <c r="K19" s="15"/>
    </row>
    <row r="20" spans="2:11" ht="68.099999999999994" customHeight="1" x14ac:dyDescent="0.25">
      <c r="B20" s="20" t="s">
        <v>45</v>
      </c>
      <c r="C20" s="3" t="s">
        <v>15</v>
      </c>
      <c r="D20" s="4" t="s">
        <v>35</v>
      </c>
      <c r="E20" s="4" t="s">
        <v>46</v>
      </c>
      <c r="F20" s="4" t="s">
        <v>47</v>
      </c>
      <c r="G20" s="4" t="s">
        <v>19</v>
      </c>
      <c r="H20" s="5">
        <v>4</v>
      </c>
      <c r="I20" s="6">
        <v>0</v>
      </c>
      <c r="J20" s="6">
        <v>0</v>
      </c>
      <c r="K20" s="7">
        <f>SUM(H20:J20)</f>
        <v>4</v>
      </c>
    </row>
    <row r="21" spans="2:11" ht="68.099999999999994" customHeight="1" x14ac:dyDescent="0.25">
      <c r="B21" s="15"/>
      <c r="C21" s="3" t="s">
        <v>15</v>
      </c>
      <c r="D21" s="4" t="s">
        <v>23</v>
      </c>
      <c r="E21" s="4" t="s">
        <v>48</v>
      </c>
      <c r="F21" s="4" t="s">
        <v>49</v>
      </c>
      <c r="G21" s="4" t="s">
        <v>26</v>
      </c>
      <c r="H21" s="6">
        <v>0</v>
      </c>
      <c r="I21" s="5">
        <v>2</v>
      </c>
      <c r="J21" s="6">
        <v>0</v>
      </c>
      <c r="K21" s="7">
        <f>SUM(H21:J21)</f>
        <v>2</v>
      </c>
    </row>
    <row r="22" spans="2:11" ht="68.099999999999994" customHeight="1" x14ac:dyDescent="0.25">
      <c r="B22" s="15"/>
      <c r="C22" s="8" t="s">
        <v>27</v>
      </c>
      <c r="D22" s="4" t="s">
        <v>28</v>
      </c>
      <c r="E22" s="4" t="s">
        <v>50</v>
      </c>
      <c r="F22" s="4" t="s">
        <v>51</v>
      </c>
      <c r="G22" s="4" t="s">
        <v>31</v>
      </c>
      <c r="H22" s="6">
        <v>0</v>
      </c>
      <c r="I22" s="6">
        <v>0</v>
      </c>
      <c r="J22" s="5">
        <v>2</v>
      </c>
      <c r="K22" s="7">
        <f>SUM(H22:J22)</f>
        <v>2</v>
      </c>
    </row>
    <row r="23" spans="2:11" ht="24" customHeight="1" x14ac:dyDescent="0.25">
      <c r="B23" s="18" t="s">
        <v>52</v>
      </c>
      <c r="C23" s="15"/>
      <c r="D23" s="15"/>
      <c r="E23" s="15"/>
      <c r="F23" s="15"/>
      <c r="G23" s="15"/>
      <c r="H23" s="9">
        <f>SUM(H20:H22)</f>
        <v>4</v>
      </c>
      <c r="I23" s="9">
        <f>SUM(I20:I22)</f>
        <v>2</v>
      </c>
      <c r="J23" s="9">
        <f>SUM(J20:J22)</f>
        <v>2</v>
      </c>
      <c r="K23" s="10">
        <f>SUM(K20:K22)</f>
        <v>8</v>
      </c>
    </row>
    <row r="25" spans="2:11" ht="22.5" x14ac:dyDescent="0.25">
      <c r="B25" s="23" t="s">
        <v>53</v>
      </c>
      <c r="C25" s="15"/>
      <c r="D25" s="15"/>
      <c r="E25" s="15"/>
      <c r="F25" s="15"/>
      <c r="G25" s="15"/>
      <c r="H25" s="1">
        <f>H11+H17+H23</f>
        <v>16</v>
      </c>
      <c r="I25" s="1">
        <f>I11+I17+I23</f>
        <v>6</v>
      </c>
      <c r="J25" s="1">
        <f>J11+J17+J23</f>
        <v>6</v>
      </c>
      <c r="K25" s="12">
        <f>K11+K17+K23</f>
        <v>28</v>
      </c>
    </row>
  </sheetData>
  <autoFilter ref="B4:K25" xr:uid="{00000000-0009-0000-0000-000000000000}"/>
  <mergeCells count="19">
    <mergeCell ref="D4:D5"/>
    <mergeCell ref="B14:B16"/>
    <mergeCell ref="B20:B22"/>
    <mergeCell ref="B6:K6"/>
    <mergeCell ref="B17:G17"/>
    <mergeCell ref="G4:G5"/>
    <mergeCell ref="B4:B5"/>
    <mergeCell ref="F4:F5"/>
    <mergeCell ref="H4:K4"/>
    <mergeCell ref="B25:G25"/>
    <mergeCell ref="B19:K19"/>
    <mergeCell ref="B2:K2"/>
    <mergeCell ref="C4:C5"/>
    <mergeCell ref="E4:E5"/>
    <mergeCell ref="B13:K13"/>
    <mergeCell ref="B23:G23"/>
    <mergeCell ref="B3:K3"/>
    <mergeCell ref="B7:B10"/>
    <mergeCell ref="B11:G11"/>
  </mergeCells>
  <pageMargins left="0.75" right="0.75" top="1" bottom="1" header="0.5" footer="0.5"/>
  <pageSetup fitToHeight="2" orientation="landscape"/>
  <headerFooter>
    <oddFooter>&amp;CYaJuego | Flow Ago–Dic + Influencers&amp;RPágina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10"/>
  <sheetViews>
    <sheetView showGridLines="0" topLeftCell="A6" workbookViewId="0">
      <selection activeCell="A13" sqref="A13:XFD22"/>
    </sheetView>
  </sheetViews>
  <sheetFormatPr baseColWidth="10" defaultColWidth="9.140625" defaultRowHeight="15" x14ac:dyDescent="0.25"/>
  <cols>
    <col min="1" max="1" width="2" customWidth="1"/>
    <col min="2" max="2" width="20" customWidth="1"/>
    <col min="3" max="3" width="24" customWidth="1"/>
    <col min="4" max="4" width="34" customWidth="1"/>
    <col min="5" max="5" width="43" customWidth="1"/>
    <col min="6" max="6" width="32" customWidth="1"/>
  </cols>
  <sheetData>
    <row r="2" spans="2:6" x14ac:dyDescent="0.25">
      <c r="B2" s="14" t="s">
        <v>54</v>
      </c>
      <c r="C2" s="15"/>
      <c r="D2" s="15"/>
      <c r="E2" s="15"/>
      <c r="F2" s="15"/>
    </row>
    <row r="3" spans="2:6" x14ac:dyDescent="0.25">
      <c r="B3" s="21" t="s">
        <v>55</v>
      </c>
      <c r="C3" s="15"/>
      <c r="D3" s="15"/>
      <c r="E3" s="15"/>
      <c r="F3" s="15"/>
    </row>
    <row r="5" spans="2:6" x14ac:dyDescent="0.25">
      <c r="B5" s="9" t="s">
        <v>3</v>
      </c>
      <c r="C5" s="9" t="s">
        <v>56</v>
      </c>
      <c r="D5" s="9" t="s">
        <v>57</v>
      </c>
      <c r="E5" s="9" t="s">
        <v>58</v>
      </c>
      <c r="F5" s="9" t="s">
        <v>59</v>
      </c>
    </row>
    <row r="6" spans="2:6" ht="69.95" customHeight="1" x14ac:dyDescent="0.25">
      <c r="B6" s="3" t="s">
        <v>15</v>
      </c>
      <c r="C6" s="13" t="s">
        <v>60</v>
      </c>
      <c r="D6" s="13" t="s">
        <v>61</v>
      </c>
      <c r="E6" s="13" t="s">
        <v>62</v>
      </c>
      <c r="F6" s="13" t="s">
        <v>63</v>
      </c>
    </row>
    <row r="7" spans="2:6" ht="69.95" customHeight="1" x14ac:dyDescent="0.25">
      <c r="B7" s="3" t="s">
        <v>15</v>
      </c>
      <c r="C7" s="13" t="s">
        <v>23</v>
      </c>
      <c r="D7" s="13" t="s">
        <v>64</v>
      </c>
      <c r="E7" s="13" t="s">
        <v>65</v>
      </c>
      <c r="F7" s="13" t="s">
        <v>66</v>
      </c>
    </row>
    <row r="8" spans="2:6" ht="69.95" customHeight="1" x14ac:dyDescent="0.25">
      <c r="B8" s="8" t="s">
        <v>27</v>
      </c>
      <c r="C8" s="13" t="s">
        <v>67</v>
      </c>
      <c r="D8" s="13" t="s">
        <v>68</v>
      </c>
      <c r="E8" s="13" t="s">
        <v>69</v>
      </c>
      <c r="F8" s="13" t="s">
        <v>70</v>
      </c>
    </row>
    <row r="9" spans="2:6" ht="69.95" customHeight="1" x14ac:dyDescent="0.25">
      <c r="B9" s="11" t="s">
        <v>42</v>
      </c>
      <c r="C9" s="13" t="s">
        <v>71</v>
      </c>
      <c r="D9" s="13" t="s">
        <v>68</v>
      </c>
      <c r="E9" s="13" t="s">
        <v>72</v>
      </c>
      <c r="F9" s="13" t="s">
        <v>73</v>
      </c>
    </row>
    <row r="10" spans="2:6" ht="69.95" customHeight="1" x14ac:dyDescent="0.25">
      <c r="B10" s="11" t="s">
        <v>42</v>
      </c>
      <c r="C10" s="13" t="s">
        <v>74</v>
      </c>
      <c r="D10" s="13" t="s">
        <v>75</v>
      </c>
      <c r="E10" s="13" t="s">
        <v>76</v>
      </c>
      <c r="F10" s="13" t="s">
        <v>77</v>
      </c>
    </row>
  </sheetData>
  <mergeCells count="2">
    <mergeCell ref="B2:F2"/>
    <mergeCell ref="B3:F3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PLAN DE PIEZAS</vt:lpstr>
      <vt:lpstr>MEDIDAS Y REQUISITOS</vt:lpstr>
      <vt:lpstr>'MEDIDAS Y REQUISITOS'!Área_de_impresión</vt:lpstr>
      <vt:lpstr>'PLAN DE PIEZAS'!Área_de_impresión</vt:lpstr>
      <vt:lpstr>'PLAN DE PIEZAS'!Títulos_a_imprimir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Adcom</cp:lastModifiedBy>
  <dcterms:created xsi:type="dcterms:W3CDTF">2026-07-30T02:19:38Z</dcterms:created>
  <dcterms:modified xsi:type="dcterms:W3CDTF">2026-07-30T12:54:07Z</dcterms:modified>
</cp:coreProperties>
</file>