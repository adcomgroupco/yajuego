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META" sheetId="1" state="visible" r:id="rId1"/>
    <sheet xmlns:r="http://schemas.openxmlformats.org/officeDocument/2006/relationships" name="MEDIDAS META" sheetId="2" state="visible" r:id="rId2"/>
  </sheets>
  <definedNames>
    <definedName name="_xlnm._FilterDatabase" localSheetId="0" hidden="1">'PLAN META'!$B$4:$L$30</definedName>
    <definedName name="_xlnm.Print_Titles" localSheetId="0">'PLAN META'!$4:$5</definedName>
    <definedName name="_xlnm.Print_Area" localSheetId="0">'PLAN META'!$B$2:$L$36</definedName>
    <definedName name="_xlnm.Print_Area" localSheetId="1">'MEDIDAS META'!$B$2:$E$17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ontserrat"/>
      <b val="1"/>
      <color rgb="00FFFFFF"/>
      <sz val="15"/>
    </font>
    <font>
      <name val="Montserrat"/>
      <b val="1"/>
      <color rgb="00111111"/>
      <sz val="10"/>
    </font>
    <font>
      <name val="Montserrat"/>
      <b val="1"/>
      <color rgb="00111111"/>
      <sz val="9"/>
    </font>
    <font>
      <name val="Montserrat"/>
      <b val="1"/>
      <color rgb="00FFFFFF"/>
      <sz val="11"/>
    </font>
    <font>
      <name val="Montserrat"/>
      <b val="1"/>
      <color rgb="00FFFFFF"/>
      <sz val="8"/>
    </font>
    <font>
      <name val="Montserrat"/>
      <b val="1"/>
      <color rgb="00FFFFFF"/>
      <sz val="10"/>
    </font>
    <font>
      <name val="Poppins"/>
      <color rgb="00262626"/>
      <sz val="8"/>
    </font>
    <font>
      <name val="Montserrat"/>
      <b val="1"/>
      <color rgb="00FFFFFF"/>
      <sz val="9"/>
    </font>
    <font>
      <name val="Montserrat"/>
      <b val="1"/>
      <color rgb="00262626"/>
      <sz val="11"/>
    </font>
    <font>
      <name val="Montserrat"/>
      <color rgb="00262626"/>
      <sz val="11"/>
    </font>
    <font>
      <name val="Montserrat"/>
      <b val="1"/>
      <color rgb="00111111"/>
      <sz val="13"/>
    </font>
    <font>
      <name val="Montserrat"/>
      <b val="1"/>
      <color rgb="00262626"/>
      <sz val="8"/>
    </font>
    <font>
      <name val="Montserrat"/>
      <color rgb="00262626"/>
      <sz val="8"/>
    </font>
    <font>
      <name val="Poppins"/>
      <color rgb="00262626"/>
      <sz val="9"/>
    </font>
  </fonts>
  <fills count="1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D200"/>
      </patternFill>
    </fill>
    <fill>
      <patternFill patternType="solid">
        <fgColor rgb="00858B93"/>
      </patternFill>
    </fill>
    <fill>
      <patternFill patternType="solid">
        <fgColor rgb="00262626"/>
      </patternFill>
    </fill>
    <fill>
      <patternFill patternType="solid">
        <fgColor rgb="001464F4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00A651"/>
      </patternFill>
    </fill>
    <fill>
      <patternFill patternType="solid">
        <fgColor rgb="0000A6C8"/>
      </patternFill>
    </fill>
    <fill>
      <patternFill patternType="solid">
        <fgColor rgb="00F28C2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6"/>
  <sheetViews>
    <sheetView showGridLines="0" workbookViewId="0">
      <pane xSplit="7" ySplit="6" topLeftCell="H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1" customWidth="1" min="2" max="2"/>
    <col width="14" customWidth="1" min="3" max="3"/>
    <col width="22" customWidth="1" min="4" max="4"/>
    <col width="31" customWidth="1" min="5" max="5"/>
    <col width="34" customWidth="1" min="6" max="6"/>
    <col width="29" customWidth="1" min="7" max="7"/>
    <col width="12" customWidth="1" min="8" max="8"/>
    <col width="12" customWidth="1" min="9" max="9"/>
    <col width="12" customWidth="1" min="10" max="10"/>
    <col width="17" customWidth="1" min="11" max="11"/>
    <col width="10" customWidth="1" min="12" max="12"/>
  </cols>
  <sheetData>
    <row r="2" ht="34" customHeight="1">
      <c r="B2" s="1" t="inlineStr">
        <is>
          <t>CUADRO DE MATERIALES META | YAJUEGO · FLOW AGO–DIC + INFLUENCERS</t>
        </is>
      </c>
    </row>
    <row r="3">
      <c r="B3" s="2" t="inlineStr">
        <is>
          <t>Exclusivo para Meta | 25 conceptos · 39 archivos finales | Feed, Stories, Reels y Partnership Ads</t>
        </is>
      </c>
    </row>
    <row r="4">
      <c r="B4" s="3" t="inlineStr">
        <is>
          <t>MOMENTO</t>
        </is>
      </c>
      <c r="C4" s="3" t="inlineStr">
        <is>
          <t>CANAL</t>
        </is>
      </c>
      <c r="D4" s="3" t="inlineStr">
        <is>
          <t>TIPO</t>
        </is>
      </c>
      <c r="E4" s="3" t="inlineStr">
        <is>
          <t>OBJETIVO Y TEMA</t>
        </is>
      </c>
      <c r="F4" s="3" t="inlineStr">
        <is>
          <t>DESARROLLO SOLICITADO</t>
        </is>
      </c>
      <c r="G4" s="3" t="inlineStr">
        <is>
          <t>MEDIDAS / CONDICIÓN</t>
        </is>
      </c>
      <c r="H4" s="4" t="inlineStr">
        <is>
          <t>CANTIDAD DE ARCHIVOS FINALES</t>
        </is>
      </c>
    </row>
    <row r="5">
      <c r="H5" s="5" t="inlineStr">
        <is>
          <t>CARRUSEL</t>
        </is>
      </c>
      <c r="I5" s="5" t="inlineStr">
        <is>
          <t>POST FEED</t>
        </is>
      </c>
      <c r="J5" s="5" t="inlineStr">
        <is>
          <t>HISTORIA</t>
        </is>
      </c>
      <c r="K5" s="5" t="inlineStr">
        <is>
          <t>REEL / CONTENT</t>
        </is>
      </c>
      <c r="L5" s="5" t="inlineStr">
        <is>
          <t>TOTAL</t>
        </is>
      </c>
    </row>
    <row r="6">
      <c r="B6" s="6" t="inlineStr">
        <is>
          <t>1. BASE CONTINUA · AGOSTO A OCTUBRE</t>
        </is>
      </c>
    </row>
    <row r="7" ht="66" customHeight="1">
      <c r="B7" s="7" t="inlineStr">
        <is>
          <t>BASE CONTINUA
AGO–OCT</t>
        </is>
      </c>
      <c r="C7" s="8" t="inlineStr">
        <is>
          <t>META</t>
        </is>
      </c>
      <c r="D7" s="9" t="inlineStr">
        <is>
          <t>Carrusel de marca</t>
        </is>
      </c>
      <c r="E7" s="9" t="inlineStr">
        <is>
          <t>Reconstruir audiencias y explicar la propuesta de YaJuego.</t>
        </is>
      </c>
      <c r="F7" s="9" t="inlineStr">
        <is>
          <t>1 carrusel evergreen: registro, cuotas, beneficios y juego responsable.</t>
        </is>
      </c>
      <c r="G7" s="9" t="inlineStr">
        <is>
          <t>1080×1080 (1:1)
3–5 láminas</t>
        </is>
      </c>
      <c r="H7" s="10" t="n">
        <v>1</v>
      </c>
      <c r="I7" s="11" t="n">
        <v>0</v>
      </c>
      <c r="J7" s="11" t="n">
        <v>0</v>
      </c>
      <c r="K7" s="11" t="n">
        <v>0</v>
      </c>
      <c r="L7" s="12">
        <f>SUM(H7:K7)</f>
        <v/>
      </c>
    </row>
    <row r="8" ht="66" customHeight="1">
      <c r="C8" s="8" t="inlineStr">
        <is>
          <t>META</t>
        </is>
      </c>
      <c r="D8" s="9" t="inlineStr">
        <is>
          <t>Post + Story</t>
        </is>
      </c>
      <c r="E8" s="9" t="inlineStr">
        <is>
          <t>Registro y depósito durante Liga BetPlay y Champions.</t>
        </is>
      </c>
      <c r="F8" s="9" t="inlineStr">
        <is>
          <t>2 conceptos de post con adaptación obligatoria a Story.</t>
        </is>
      </c>
      <c r="G8" s="9" t="inlineStr">
        <is>
          <t>Feed 1080×1350 (4:5)
+ Story 1080×1920 (9:16)</t>
        </is>
      </c>
      <c r="H8" s="11" t="n">
        <v>0</v>
      </c>
      <c r="I8" s="10" t="n">
        <v>2</v>
      </c>
      <c r="J8" s="10" t="n">
        <v>2</v>
      </c>
      <c r="K8" s="11" t="n">
        <v>0</v>
      </c>
      <c r="L8" s="12">
        <f>SUM(H8:K8)</f>
        <v/>
      </c>
    </row>
    <row r="9" ht="66" customHeight="1">
      <c r="C9" s="8" t="inlineStr">
        <is>
          <t>META</t>
        </is>
      </c>
      <c r="D9" s="9" t="inlineStr">
        <is>
          <t>Reels de conversión</t>
        </is>
      </c>
      <c r="E9" s="9" t="inlineStr">
        <is>
          <t>Mantener rotación y CTA directo.</t>
        </is>
      </c>
      <c r="F9" s="9" t="inlineStr">
        <is>
          <t>2 Reels: “Apuesta el clásico” y beneficio/bono sin promesa de ganancia.</t>
        </is>
      </c>
      <c r="G9" s="9" t="inlineStr">
        <is>
          <t>1080×1920 (9:16)
Video vertical · safe zones</t>
        </is>
      </c>
      <c r="H9" s="11" t="n">
        <v>0</v>
      </c>
      <c r="I9" s="11" t="n">
        <v>0</v>
      </c>
      <c r="J9" s="11" t="n">
        <v>0</v>
      </c>
      <c r="K9" s="10" t="n">
        <v>2</v>
      </c>
      <c r="L9" s="12">
        <f>SUM(H9:K9)</f>
        <v/>
      </c>
    </row>
    <row r="10">
      <c r="B10" s="13" t="inlineStr">
        <is>
          <t>TOTAL AGOSTO A OCTUBRE</t>
        </is>
      </c>
      <c r="H10" s="14">
        <f>SUM(H7:H9)</f>
        <v/>
      </c>
      <c r="I10" s="14">
        <f>SUM(I7:I9)</f>
        <v/>
      </c>
      <c r="J10" s="14">
        <f>SUM(J7:J9)</f>
        <v/>
      </c>
      <c r="K10" s="14">
        <f>SUM(K7:K9)</f>
        <v/>
      </c>
      <c r="L10" s="15">
        <f>SUM(L7:L9)</f>
        <v/>
      </c>
    </row>
    <row r="12">
      <c r="B12" s="6" t="inlineStr">
        <is>
          <t>2. PICO CONMEBOL · NOVIEMBRE</t>
        </is>
      </c>
    </row>
    <row r="13" ht="66" customHeight="1">
      <c r="B13" s="16" t="inlineStr">
        <is>
          <t>PICO CONMEBOL
NOVIEMBRE</t>
        </is>
      </c>
      <c r="C13" s="8" t="inlineStr">
        <is>
          <t>META</t>
        </is>
      </c>
      <c r="D13" s="9" t="inlineStr">
        <is>
          <t>Carrusel</t>
        </is>
      </c>
      <c r="E13" s="9" t="inlineStr">
        <is>
          <t>Finales Libertadores y Sudamericana.</t>
        </is>
      </c>
      <c r="F13" s="9" t="inlineStr">
        <is>
          <t>Agenda/previa de las finales + CTA a registro.</t>
        </is>
      </c>
      <c r="G13" s="9" t="inlineStr">
        <is>
          <t>1080×1080 (1:1)
3–5 láminas</t>
        </is>
      </c>
      <c r="H13" s="10" t="n">
        <v>1</v>
      </c>
      <c r="I13" s="11" t="n">
        <v>0</v>
      </c>
      <c r="J13" s="11" t="n">
        <v>0</v>
      </c>
      <c r="K13" s="11" t="n">
        <v>0</v>
      </c>
      <c r="L13" s="12">
        <f>SUM(H13:K13)</f>
        <v/>
      </c>
    </row>
    <row r="14" ht="66" customHeight="1">
      <c r="C14" s="8" t="inlineStr">
        <is>
          <t>META</t>
        </is>
      </c>
      <c r="D14" s="9" t="inlineStr">
        <is>
          <t>Post + Story</t>
        </is>
      </c>
      <c r="E14" s="9" t="inlineStr">
        <is>
          <t>Previas y última llamada.</t>
        </is>
      </c>
      <c r="F14" s="9" t="inlineStr">
        <is>
          <t>2 posts con adaptación obligatoria a Story: previa y partido decisivo.</t>
        </is>
      </c>
      <c r="G14" s="9" t="inlineStr">
        <is>
          <t>Feed 1080×1350 (4:5)
+ Story 1080×1920 (9:16)</t>
        </is>
      </c>
      <c r="H14" s="11" t="n">
        <v>0</v>
      </c>
      <c r="I14" s="10" t="n">
        <v>2</v>
      </c>
      <c r="J14" s="10" t="n">
        <v>2</v>
      </c>
      <c r="K14" s="11" t="n">
        <v>0</v>
      </c>
      <c r="L14" s="12">
        <f>SUM(H14:K14)</f>
        <v/>
      </c>
    </row>
    <row r="15" ht="66" customHeight="1">
      <c r="C15" s="8" t="inlineStr">
        <is>
          <t>META</t>
        </is>
      </c>
      <c r="D15" s="9" t="inlineStr">
        <is>
          <t>Reel de marca</t>
        </is>
      </c>
      <c r="E15" s="9" t="inlineStr">
        <is>
          <t>Conversión alrededor de las finales.</t>
        </is>
      </c>
      <c r="F15" s="9" t="inlineStr">
        <is>
          <t>1 Reel vertical con pick/previa y CTA.</t>
        </is>
      </c>
      <c r="G15" s="9" t="inlineStr">
        <is>
          <t>1080×1920 (9:16)
Video vertical · safe zones</t>
        </is>
      </c>
      <c r="H15" s="11" t="n">
        <v>0</v>
      </c>
      <c r="I15" s="11" t="n">
        <v>0</v>
      </c>
      <c r="J15" s="11" t="n">
        <v>0</v>
      </c>
      <c r="K15" s="10" t="n">
        <v>1</v>
      </c>
      <c r="L15" s="12">
        <f>SUM(H15:K15)</f>
        <v/>
      </c>
    </row>
    <row r="16" ht="66" customHeight="1">
      <c r="C16" s="17" t="inlineStr">
        <is>
          <t>META + INFLUENCER</t>
        </is>
      </c>
      <c r="D16" s="9" t="inlineStr">
        <is>
          <t>Macro deportivo</t>
        </is>
      </c>
      <c r="E16" s="9" t="inlineStr">
        <is>
          <t>Awareness y autoridad.</t>
        </is>
      </c>
      <c r="F16" s="9" t="inlineStr">
        <is>
          <t>1 creator: 1 Reel Collab + 2 Stories de apoyo.</t>
        </is>
      </c>
      <c r="G16" s="9" t="inlineStr">
        <is>
          <t>1080×1920 (9:16)
#Publicidad + código/UTM + +18
Derechos para Partnership Ads</t>
        </is>
      </c>
      <c r="H16" s="11" t="n">
        <v>0</v>
      </c>
      <c r="I16" s="11" t="n">
        <v>0</v>
      </c>
      <c r="J16" s="10" t="n">
        <v>2</v>
      </c>
      <c r="K16" s="10" t="n">
        <v>1</v>
      </c>
      <c r="L16" s="12">
        <f>SUM(H16:K16)</f>
        <v/>
      </c>
    </row>
    <row r="17" ht="66" customHeight="1">
      <c r="C17" s="17" t="inlineStr">
        <is>
          <t>META + INFLUENCER</t>
        </is>
      </c>
      <c r="D17" s="9" t="inlineStr">
        <is>
          <t>Mid creators</t>
        </is>
      </c>
      <c r="E17" s="9" t="inlineStr">
        <is>
          <t>Consideración y recurrencia.</t>
        </is>
      </c>
      <c r="F17" s="9" t="inlineStr">
        <is>
          <t>2 creators: 1 Reel Collab + 1 Story por creator.</t>
        </is>
      </c>
      <c r="G17" s="9" t="inlineStr">
        <is>
          <t>1080×1920 (9:16)
#Publicidad + código/UTM + +18
Derechos para Partnership Ads</t>
        </is>
      </c>
      <c r="H17" s="11" t="n">
        <v>0</v>
      </c>
      <c r="I17" s="11" t="n">
        <v>0</v>
      </c>
      <c r="J17" s="10" t="n">
        <v>2</v>
      </c>
      <c r="K17" s="10" t="n">
        <v>2</v>
      </c>
      <c r="L17" s="12">
        <f>SUM(H17:K17)</f>
        <v/>
      </c>
    </row>
    <row r="18" ht="66" customHeight="1">
      <c r="C18" s="17" t="inlineStr">
        <is>
          <t>META + INFLUENCER</t>
        </is>
      </c>
      <c r="D18" s="9" t="inlineStr">
        <is>
          <t>Micro / UGC</t>
        </is>
      </c>
      <c r="E18" s="9" t="inlineStr">
        <is>
          <t>Volumen y prueba social.</t>
        </is>
      </c>
      <c r="F18" s="9" t="inlineStr">
        <is>
          <t>3 creators: 1 Reel/UGC vertical por creator.</t>
        </is>
      </c>
      <c r="G18" s="9" t="inlineStr">
        <is>
          <t>1080×1920 (9:16)
#Publicidad + código/UTM + +18
Derechos para Partnership Ads</t>
        </is>
      </c>
      <c r="H18" s="11" t="n">
        <v>0</v>
      </c>
      <c r="I18" s="11" t="n">
        <v>0</v>
      </c>
      <c r="J18" s="11" t="n">
        <v>0</v>
      </c>
      <c r="K18" s="10" t="n">
        <v>3</v>
      </c>
      <c r="L18" s="12">
        <f>SUM(H18:K18)</f>
        <v/>
      </c>
    </row>
    <row r="19">
      <c r="B19" s="13" t="inlineStr">
        <is>
          <t>TOTAL NOVIEMBRE</t>
        </is>
      </c>
      <c r="H19" s="14">
        <f>SUM(H13:H18)</f>
        <v/>
      </c>
      <c r="I19" s="14">
        <f>SUM(I13:I18)</f>
        <v/>
      </c>
      <c r="J19" s="14">
        <f>SUM(J13:J18)</f>
        <v/>
      </c>
      <c r="K19" s="14">
        <f>SUM(K13:K18)</f>
        <v/>
      </c>
      <c r="L19" s="15">
        <f>SUM(L13:L18)</f>
        <v/>
      </c>
    </row>
    <row r="21">
      <c r="B21" s="6" t="inlineStr">
        <is>
          <t>3. CIERRE LIGA BETPLAY · DICIEMBRE 1–13</t>
        </is>
      </c>
    </row>
    <row r="22" ht="66" customHeight="1">
      <c r="B22" s="18" t="inlineStr">
        <is>
          <t>CIERRE LIGA
DIC. 1–13</t>
        </is>
      </c>
      <c r="C22" s="8" t="inlineStr">
        <is>
          <t>META</t>
        </is>
      </c>
      <c r="D22" s="9" t="inlineStr">
        <is>
          <t>Carrusel</t>
        </is>
      </c>
      <c r="E22" s="9" t="inlineStr">
        <is>
          <t>Cuadrangulares y cierre de Liga BetPlay.</t>
        </is>
      </c>
      <c r="F22" s="9" t="inlineStr">
        <is>
          <t>Agenda/cierre de la competencia + CTA a registro.</t>
        </is>
      </c>
      <c r="G22" s="9" t="inlineStr">
        <is>
          <t>1080×1080 (1:1)
3–5 láminas</t>
        </is>
      </c>
      <c r="H22" s="10" t="n">
        <v>1</v>
      </c>
      <c r="I22" s="11" t="n">
        <v>0</v>
      </c>
      <c r="J22" s="11" t="n">
        <v>0</v>
      </c>
      <c r="K22" s="11" t="n">
        <v>0</v>
      </c>
      <c r="L22" s="12">
        <f>SUM(H22:K22)</f>
        <v/>
      </c>
    </row>
    <row r="23" ht="66" customHeight="1">
      <c r="C23" s="8" t="inlineStr">
        <is>
          <t>META</t>
        </is>
      </c>
      <c r="D23" s="9" t="inlineStr">
        <is>
          <t>Post + Story</t>
        </is>
      </c>
      <c r="E23" s="9" t="inlineStr">
        <is>
          <t>Urgencia en la última ventana del plan.</t>
        </is>
      </c>
      <c r="F23" s="9" t="inlineStr">
        <is>
          <t>2 posts con adaptación obligatoria a Story: previa y última llamada.</t>
        </is>
      </c>
      <c r="G23" s="9" t="inlineStr">
        <is>
          <t>Feed 1080×1350 (4:5)
+ Story 1080×1920 (9:16)</t>
        </is>
      </c>
      <c r="H23" s="11" t="n">
        <v>0</v>
      </c>
      <c r="I23" s="10" t="n">
        <v>2</v>
      </c>
      <c r="J23" s="10" t="n">
        <v>2</v>
      </c>
      <c r="K23" s="11" t="n">
        <v>0</v>
      </c>
      <c r="L23" s="12">
        <f>SUM(H23:K23)</f>
        <v/>
      </c>
    </row>
    <row r="24" ht="66" customHeight="1">
      <c r="C24" s="8" t="inlineStr">
        <is>
          <t>META</t>
        </is>
      </c>
      <c r="D24" s="9" t="inlineStr">
        <is>
          <t>Reel de marca</t>
        </is>
      </c>
      <c r="E24" s="9" t="inlineStr">
        <is>
          <t>Registro y depósito en partidos decisivos.</t>
        </is>
      </c>
      <c r="F24" s="9" t="inlineStr">
        <is>
          <t>1 Reel vertical de cierre del flow.</t>
        </is>
      </c>
      <c r="G24" s="9" t="inlineStr">
        <is>
          <t>1080×1920 (9:16)
Video vertical · safe zones</t>
        </is>
      </c>
      <c r="H24" s="11" t="n">
        <v>0</v>
      </c>
      <c r="I24" s="11" t="n">
        <v>0</v>
      </c>
      <c r="J24" s="11" t="n">
        <v>0</v>
      </c>
      <c r="K24" s="10" t="n">
        <v>1</v>
      </c>
      <c r="L24" s="12">
        <f>SUM(H24:K24)</f>
        <v/>
      </c>
    </row>
    <row r="25" ht="66" customHeight="1">
      <c r="C25" s="17" t="inlineStr">
        <is>
          <t>META + INFLUENCER</t>
        </is>
      </c>
      <c r="D25" s="9" t="inlineStr">
        <is>
          <t>Macro deportivo</t>
        </is>
      </c>
      <c r="E25" s="9" t="inlineStr">
        <is>
          <t>Cara de campaña y autoridad.</t>
        </is>
      </c>
      <c r="F25" s="9" t="inlineStr">
        <is>
          <t>1 creator: 1 Reel Collab + 2 Stories de apoyo.</t>
        </is>
      </c>
      <c r="G25" s="9" t="inlineStr">
        <is>
          <t>1080×1920 (9:16)
#Publicidad + código/UTM + +18
Derechos para Partnership Ads</t>
        </is>
      </c>
      <c r="H25" s="11" t="n">
        <v>0</v>
      </c>
      <c r="I25" s="11" t="n">
        <v>0</v>
      </c>
      <c r="J25" s="10" t="n">
        <v>2</v>
      </c>
      <c r="K25" s="10" t="n">
        <v>1</v>
      </c>
      <c r="L25" s="12">
        <f>SUM(H25:K25)</f>
        <v/>
      </c>
    </row>
    <row r="26" ht="66" customHeight="1">
      <c r="C26" s="17" t="inlineStr">
        <is>
          <t>META + INFLUENCER</t>
        </is>
      </c>
      <c r="D26" s="9" t="inlineStr">
        <is>
          <t>Mid creators</t>
        </is>
      </c>
      <c r="E26" s="9" t="inlineStr">
        <is>
          <t>Cuotas, bonos y picks recurrentes.</t>
        </is>
      </c>
      <c r="F26" s="9" t="inlineStr">
        <is>
          <t>2 creators: 1 Reel Collab + 1 Story por creator.</t>
        </is>
      </c>
      <c r="G26" s="9" t="inlineStr">
        <is>
          <t>1080×1920 (9:16)
#Publicidad + código/UTM + +18
Derechos para Partnership Ads</t>
        </is>
      </c>
      <c r="H26" s="11" t="n">
        <v>0</v>
      </c>
      <c r="I26" s="11" t="n">
        <v>0</v>
      </c>
      <c r="J26" s="10" t="n">
        <v>2</v>
      </c>
      <c r="K26" s="10" t="n">
        <v>2</v>
      </c>
      <c r="L26" s="12">
        <f>SUM(H26:K26)</f>
        <v/>
      </c>
    </row>
    <row r="27" ht="66" customHeight="1">
      <c r="C27" s="17" t="inlineStr">
        <is>
          <t>META + INFLUENCER</t>
        </is>
      </c>
      <c r="D27" s="9" t="inlineStr">
        <is>
          <t>Micro / UGC</t>
        </is>
      </c>
      <c r="E27" s="9" t="inlineStr">
        <is>
          <t>Volumen y cercanía.</t>
        </is>
      </c>
      <c r="F27" s="9" t="inlineStr">
        <is>
          <t>3 creators: 1 Reel/UGC vertical por creator.</t>
        </is>
      </c>
      <c r="G27" s="9" t="inlineStr">
        <is>
          <t>1080×1920 (9:16)
#Publicidad + código/UTM + +18
Derechos para Partnership Ads</t>
        </is>
      </c>
      <c r="H27" s="11" t="n">
        <v>0</v>
      </c>
      <c r="I27" s="11" t="n">
        <v>0</v>
      </c>
      <c r="J27" s="11" t="n">
        <v>0</v>
      </c>
      <c r="K27" s="10" t="n">
        <v>3</v>
      </c>
      <c r="L27" s="12">
        <f>SUM(H27:K27)</f>
        <v/>
      </c>
    </row>
    <row r="28">
      <c r="B28" s="13" t="inlineStr">
        <is>
          <t>TOTAL DICIEMBRE 1–13</t>
        </is>
      </c>
      <c r="H28" s="14">
        <f>SUM(H22:H27)</f>
        <v/>
      </c>
      <c r="I28" s="14">
        <f>SUM(I22:I27)</f>
        <v/>
      </c>
      <c r="J28" s="14">
        <f>SUM(J22:J27)</f>
        <v/>
      </c>
      <c r="K28" s="14">
        <f>SUM(K22:K27)</f>
        <v/>
      </c>
      <c r="L28" s="15">
        <f>SUM(L22:L27)</f>
        <v/>
      </c>
    </row>
    <row r="30">
      <c r="B30" s="19" t="inlineStr">
        <is>
          <t>TOTAL SOLICITADO</t>
        </is>
      </c>
      <c r="H30" s="4">
        <f>H10+H19+H28</f>
        <v/>
      </c>
      <c r="I30" s="4">
        <f>I10+I19+I28</f>
        <v/>
      </c>
      <c r="J30" s="4">
        <f>J10+J19+J28</f>
        <v/>
      </c>
      <c r="K30" s="4">
        <f>K10+K19+K28</f>
        <v/>
      </c>
      <c r="L30" s="20">
        <f>L10+L19+L28</f>
        <v/>
      </c>
    </row>
    <row r="32">
      <c r="B32" s="21" t="inlineStr">
        <is>
          <t>NOTA · Este cuadro es exclusivamente para Meta; no incluye Programmatic, Push ni TikTok.</t>
        </is>
      </c>
    </row>
    <row r="33">
      <c r="B33" s="22" t="inlineStr">
        <is>
          <t>• Cada POST se contabiliza en dos archivos: Feed 1080×1350 + Story 1080×1920.</t>
        </is>
      </c>
    </row>
    <row r="34">
      <c r="B34" s="22" t="inlineStr">
        <is>
          <t>• Influencers se concentra en noviembre y diciembre: 1 macro, 2 mid y 3 micro/UGC por mes.</t>
        </is>
      </c>
    </row>
    <row r="35">
      <c r="B35" s="22" t="inlineStr">
        <is>
          <t>• Los contenidos de creators deben habilitar derechos para Partnership Ads/Branded Content en Meta.</t>
        </is>
      </c>
    </row>
    <row r="36">
      <c r="B36" s="22" t="inlineStr">
        <is>
          <t>• Todo debe incluir juego responsable, restricción +18, #Publicidad y disclaimers aplicables.</t>
        </is>
      </c>
    </row>
  </sheetData>
  <autoFilter ref="B4:L30"/>
  <mergeCells count="24">
    <mergeCell ref="B35:L35"/>
    <mergeCell ref="B22:B27"/>
    <mergeCell ref="C4:C5"/>
    <mergeCell ref="E4:E5"/>
    <mergeCell ref="B3:L3"/>
    <mergeCell ref="H4:L4"/>
    <mergeCell ref="B19:G19"/>
    <mergeCell ref="B10:G10"/>
    <mergeCell ref="B12:L12"/>
    <mergeCell ref="B28:G28"/>
    <mergeCell ref="B21:L21"/>
    <mergeCell ref="D4:D5"/>
    <mergeCell ref="B2:L2"/>
    <mergeCell ref="B7:B9"/>
    <mergeCell ref="B30:G30"/>
    <mergeCell ref="B13:B18"/>
    <mergeCell ref="G4:G5"/>
    <mergeCell ref="B34:L34"/>
    <mergeCell ref="B4:B5"/>
    <mergeCell ref="B6:L6"/>
    <mergeCell ref="F4:F5"/>
    <mergeCell ref="B33:L33"/>
    <mergeCell ref="B36:L36"/>
    <mergeCell ref="B32:L32"/>
  </mergeCells>
  <pageMargins left="0.75" right="0.75" top="1" bottom="1" header="0.5" footer="0.5"/>
  <pageSetup orientation="landscape" fitToHeight="2" fitToWidth="1"/>
  <headerFooter>
    <oddHeader/>
    <oddFooter>&amp;CYaJuego | Cuadro de materiales Meta&amp;RPágina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9" customWidth="1" min="3" max="3"/>
    <col width="42" customWidth="1" min="4" max="4"/>
    <col width="37" customWidth="1" min="5" max="5"/>
  </cols>
  <sheetData>
    <row r="2">
      <c r="B2" s="1" t="inlineStr">
        <is>
          <t>MEDIDAS Y REQUISITOS META</t>
        </is>
      </c>
    </row>
    <row r="3">
      <c r="B3" s="2" t="inlineStr">
        <is>
          <t>Feed, Stories, Reels y Partnership Ads</t>
        </is>
      </c>
    </row>
    <row r="5">
      <c r="B5" s="14" t="inlineStr">
        <is>
          <t>FORMATO</t>
        </is>
      </c>
      <c r="C5" s="14" t="inlineStr">
        <is>
          <t>MEDIDA</t>
        </is>
      </c>
      <c r="D5" s="14" t="inlineStr">
        <is>
          <t>REQUISITOS</t>
        </is>
      </c>
      <c r="E5" s="14" t="inlineStr">
        <is>
          <t>QUÉ CUENTA COMO MATERIAL</t>
        </is>
      </c>
    </row>
    <row r="6" ht="70" customHeight="1">
      <c r="B6" s="8" t="inlineStr">
        <is>
          <t>Post Meta</t>
        </is>
      </c>
      <c r="C6" s="23" t="inlineStr">
        <is>
          <t>Feed 1080×1350 · 4:5
Story 1080×1920 · 9:16</t>
        </is>
      </c>
      <c r="D6" s="23" t="inlineStr">
        <is>
          <t>Adaptación a Story obligatoria. Mantener logo, cuota y CTA en zonas seguras.</t>
        </is>
      </c>
      <c r="E6" s="23" t="inlineStr">
        <is>
          <t>2 archivos: 1 feed + 1 story.</t>
        </is>
      </c>
    </row>
    <row r="7" ht="70" customHeight="1">
      <c r="B7" s="8" t="inlineStr">
        <is>
          <t>Carrusel</t>
        </is>
      </c>
      <c r="C7" s="23" t="inlineStr">
        <is>
          <t>1080×1080 · 1:1
3–5 láminas</t>
        </is>
      </c>
      <c r="D7" s="23" t="inlineStr">
        <is>
          <t>Una idea secuencial, CTA al cierre y juego responsable.</t>
        </is>
      </c>
      <c r="E7" s="23" t="inlineStr">
        <is>
          <t>1 carrusel completo; láminas no se cuentan por separado.</t>
        </is>
      </c>
    </row>
    <row r="8" ht="70" customHeight="1">
      <c r="B8" s="8" t="inlineStr">
        <is>
          <t>Reel de marca</t>
        </is>
      </c>
      <c r="C8" s="23" t="inlineStr">
        <is>
          <t>1080×1920 · 9:16</t>
        </is>
      </c>
      <c r="D8" s="23" t="inlineStr">
        <is>
          <t>Video vertical, safe zones, audio y CTA a registro/depósito.</t>
        </is>
      </c>
      <c r="E8" s="23" t="inlineStr">
        <is>
          <t>1 Reel final.</t>
        </is>
      </c>
    </row>
    <row r="9" ht="70" customHeight="1">
      <c r="B9" s="17" t="inlineStr">
        <is>
          <t>Reel creator / Collab</t>
        </is>
      </c>
      <c r="C9" s="23" t="inlineStr">
        <is>
          <t>1080×1920 · 9:16</t>
        </is>
      </c>
      <c r="D9" s="23" t="inlineStr">
        <is>
          <t>Estilo nativo, #Publicidad, código/UTM, +18 y aprobación previa.</t>
        </is>
      </c>
      <c r="E9" s="23" t="inlineStr">
        <is>
          <t>1 Reel final por creator.</t>
        </is>
      </c>
    </row>
    <row r="10" ht="70" customHeight="1">
      <c r="B10" s="17" t="inlineStr">
        <is>
          <t>Story creator</t>
        </is>
      </c>
      <c r="C10" s="23" t="inlineStr">
        <is>
          <t>1080×1920 · 9:16</t>
        </is>
      </c>
      <c r="D10" s="23" t="inlineStr">
        <is>
          <t>CTA, código/UTM, #Publicidad, +18 y juego responsable.</t>
        </is>
      </c>
      <c r="E10" s="23" t="inlineStr">
        <is>
          <t>1 Story final.</t>
        </is>
      </c>
    </row>
    <row r="13">
      <c r="B13" s="24" t="inlineStr">
        <is>
          <t>REQUISITOS TRANSVERSALES</t>
        </is>
      </c>
    </row>
    <row r="14">
      <c r="B14" s="22" t="inlineStr">
        <is>
          <t>• Partnership Ads/Branded Content reemplaza Spark Ads en esta versión exclusiva para Meta.</t>
        </is>
      </c>
    </row>
    <row r="15">
      <c r="B15" s="22" t="inlineStr">
        <is>
          <t>• Código/UTM y promo code por creator; medición de registro y depósito.</t>
        </is>
      </c>
    </row>
    <row r="16">
      <c r="B16" s="22" t="inlineStr">
        <is>
          <t>• Casting, contratos, calendario por fixture y cesión de derechos de amplificación.</t>
        </is>
      </c>
    </row>
    <row r="17">
      <c r="B17" s="22" t="inlineStr">
        <is>
          <t>• Juego responsable, +18 y disclaimers según Coljuegos y condiciones de YaJuego.</t>
        </is>
      </c>
    </row>
  </sheetData>
  <mergeCells count="7">
    <mergeCell ref="B17:E17"/>
    <mergeCell ref="B13:E13"/>
    <mergeCell ref="B16:E16"/>
    <mergeCell ref="B15:E15"/>
    <mergeCell ref="B3:E3"/>
    <mergeCell ref="B2:E2"/>
    <mergeCell ref="B14:E14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2026-07-30T13:25:05Z</dcterms:created>
  <dcterms:modified xmlns:dcterms="http://purl.org/dc/terms/" xmlns:xsi="http://www.w3.org/2001/XMLSchema-instance" xsi:type="dcterms:W3CDTF">2026-07-30T13:25:05Z</dcterms:modified>
</cp:coreProperties>
</file>