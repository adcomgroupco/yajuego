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3M" sheetId="1" state="visible" r:id="rId1"/>
    <sheet xmlns:r="http://schemas.openxmlformats.org/officeDocument/2006/relationships" name="Flow base 3M" sheetId="2" state="visible" r:id="rId2"/>
    <sheet xmlns:r="http://schemas.openxmlformats.org/officeDocument/2006/relationships" name="Picos Mundial" sheetId="3" state="visible" r:id="rId3"/>
    <sheet xmlns:r="http://schemas.openxmlformats.org/officeDocument/2006/relationships" name="Escenario Top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$-es-CO] 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C000"/>
      <sz val="16"/>
    </font>
    <font>
      <b val="1"/>
      <color rgb="00111111"/>
    </font>
    <font>
      <b val="1"/>
      <color rgb="00FFC000"/>
      <sz val="15"/>
    </font>
    <font>
      <b val="1"/>
      <color rgb="00FFC000"/>
    </font>
    <font>
      <b val="1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Inversion mensual medios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3M'!C4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3M'!$A$5:$A$7</f>
            </numRef>
          </cat>
          <val>
            <numRef>
              <f>'Resumen 3M'!$C$5:$C$7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Inversion por flight Mundial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'Picos Mundial'!D3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'Picos Mundial'!$A$4:$A$11</f>
            </numRef>
          </cat>
          <val>
            <numRef>
              <f>'Picos Mundial'!$D$4:$D$11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YaJuego - Flow Mundial 2026 / Proyeccion 3 meses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Base mensual tomada de Flows YaJuego.xlsx: COP 35MM Programmatic + COP 10MM TikTok = COP 45MM medios. Proyeccion 3M: COP 135MM medios, con picos en junio/julio por Mundial.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Mes</t>
        </is>
      </c>
      <c r="B4" s="3" t="inlineStr">
        <is>
          <t>Peso</t>
        </is>
      </c>
      <c r="C4" s="3" t="inlineStr">
        <is>
          <t>Inversion medios</t>
        </is>
      </c>
      <c r="D4" s="3" t="inlineStr">
        <is>
          <t>Rol</t>
        </is>
      </c>
      <c r="E4" s="3" t="inlineStr">
        <is>
          <t>Pico Mundial</t>
        </is>
      </c>
      <c r="F4" s="3" t="inlineStr">
        <is>
          <t>TopView</t>
        </is>
      </c>
      <c r="G4" s="3" t="inlineStr">
        <is>
          <t>Notas</t>
        </is>
      </c>
      <c r="H4" s="2" t="n"/>
    </row>
    <row r="5">
      <c r="A5" s="2" t="inlineStr">
        <is>
          <t>Junio 2026</t>
        </is>
      </c>
      <c r="B5" s="4" t="n">
        <v>0.4</v>
      </c>
      <c r="C5" s="5" t="n">
        <v>54000000</v>
      </c>
      <c r="D5" s="2" t="inlineStr">
        <is>
          <t>Lanzamiento + grupos</t>
        </is>
      </c>
      <c r="E5" s="2" t="inlineStr">
        <is>
          <t>Apertura 11-jun y fase de grupos 11-27 jun</t>
        </is>
      </c>
      <c r="F5" s="2" t="inlineStr">
        <is>
          <t>Escenario opcional 11-jun</t>
        </is>
      </c>
      <c r="G5" s="2" t="inlineStr">
        <is>
          <t>Acelerar alcance y busqueda de marca con bursts de awareness.</t>
        </is>
      </c>
      <c r="H5" s="2" t="n"/>
    </row>
    <row r="6">
      <c r="A6" s="2" t="inlineStr">
        <is>
          <t>Julio 2026</t>
        </is>
      </c>
      <c r="B6" s="4" t="n">
        <v>0.45</v>
      </c>
      <c r="C6" s="5" t="n">
        <v>60750000</v>
      </c>
      <c r="D6" s="2" t="inlineStr">
        <is>
          <t>Eliminatorias + final</t>
        </is>
      </c>
      <c r="E6" s="2" t="inlineStr">
        <is>
          <t>R32/R16 28-jun-7-jul, QF 9-11, SF 14-15, Final 19-jul</t>
        </is>
      </c>
      <c r="F6" s="2" t="inlineStr">
        <is>
          <t>Escenario opcional SF/Final</t>
        </is>
      </c>
      <c r="G6" s="2" t="inlineStr">
        <is>
          <t>Mes mas pesado por intencion, conversacion y apuestas live.</t>
        </is>
      </c>
      <c r="H6" s="2" t="n"/>
    </row>
    <row r="7">
      <c r="A7" s="2" t="inlineStr">
        <is>
          <t>Agosto 2026</t>
        </is>
      </c>
      <c r="B7" s="4" t="n">
        <v>0.15</v>
      </c>
      <c r="C7" s="5" t="n">
        <v>20250000</v>
      </c>
      <c r="D7" s="2" t="inlineStr">
        <is>
          <t>Recaptacion post mundial</t>
        </is>
      </c>
      <c r="E7" s="2" t="inlineStr">
        <is>
          <t>Post final / retencion</t>
        </is>
      </c>
      <c r="F7" s="2" t="inlineStr">
        <is>
          <t>No recomendado salvo promo mayor</t>
        </is>
      </c>
      <c r="G7" s="2" t="inlineStr">
        <is>
          <t>Remarketing, push y conversion sobre audiencias construidas.</t>
        </is>
      </c>
      <c r="H7" s="2" t="n"/>
    </row>
    <row r="8">
      <c r="A8" s="2" t="inlineStr">
        <is>
          <t>Total 3 meses</t>
        </is>
      </c>
      <c r="B8" s="4" t="n">
        <v>1</v>
      </c>
      <c r="C8" s="5" t="n">
        <v>135000000</v>
      </c>
      <c r="D8" s="2" t="inlineStr"/>
      <c r="E8" s="2" t="inlineStr"/>
      <c r="F8" s="2" t="inlineStr">
        <is>
          <t>TopView incremental a cotizar</t>
        </is>
      </c>
      <c r="G8" s="2" t="inlineStr">
        <is>
          <t>No incluye IVA ni tarifa TopView hasta confirmacion de TikTok.</t>
        </is>
      </c>
      <c r="H8" s="2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6" t="inlineStr">
        <is>
          <t>Flow base por canal - 3 meses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Plataforma</t>
        </is>
      </c>
      <c r="B3" s="3" t="inlineStr">
        <is>
          <t>Etapa</t>
        </is>
      </c>
      <c r="C3" s="3" t="inlineStr">
        <is>
          <t>Medio</t>
        </is>
      </c>
      <c r="D3" s="3" t="inlineStr">
        <is>
          <t>Objetivo</t>
        </is>
      </c>
      <c r="E3" s="3" t="inlineStr">
        <is>
          <t>Costo estimado</t>
        </is>
      </c>
      <c r="F3" s="3" t="inlineStr">
        <is>
          <t>Junio</t>
        </is>
      </c>
      <c r="G3" s="3" t="inlineStr">
        <is>
          <t>Julio</t>
        </is>
      </c>
      <c r="H3" s="3" t="inlineStr">
        <is>
          <t>Agosto</t>
        </is>
      </c>
      <c r="I3" s="3" t="inlineStr">
        <is>
          <t>Total 3M</t>
        </is>
      </c>
      <c r="J3" s="3" t="inlineStr">
        <is>
          <t>Resultado Jun</t>
        </is>
      </c>
      <c r="K3" s="3" t="inlineStr">
        <is>
          <t>Resultado Jul</t>
        </is>
      </c>
      <c r="L3" s="3" t="inlineStr">
        <is>
          <t>Resultado Ago</t>
        </is>
      </c>
    </row>
    <row r="4">
      <c r="A4" s="2" t="inlineStr">
        <is>
          <t>Programmatic</t>
        </is>
      </c>
      <c r="B4" s="2" t="inlineStr">
        <is>
          <t>Awareness</t>
        </is>
      </c>
      <c r="C4" s="2" t="inlineStr">
        <is>
          <t>Display contextual</t>
        </is>
      </c>
      <c r="D4" s="2" t="inlineStr">
        <is>
          <t>CPM</t>
        </is>
      </c>
      <c r="E4" s="5" t="n">
        <v>15900</v>
      </c>
      <c r="F4" s="5" t="n">
        <v>5478261</v>
      </c>
      <c r="G4" s="5" t="n">
        <v>6163043</v>
      </c>
      <c r="H4" s="5" t="n">
        <v>2054348</v>
      </c>
      <c r="I4" s="5">
        <f>SUM(F4:H4)</f>
        <v/>
      </c>
      <c r="J4" s="7">
        <f>F4/E4*1000</f>
        <v/>
      </c>
      <c r="K4" s="7">
        <f>G4/E4*1000</f>
        <v/>
      </c>
      <c r="L4" s="7">
        <f>H4/E4*1000</f>
        <v/>
      </c>
    </row>
    <row r="5">
      <c r="A5" s="2" t="inlineStr">
        <is>
          <t>Programmatic</t>
        </is>
      </c>
      <c r="B5" s="2" t="inlineStr">
        <is>
          <t>Awareness</t>
        </is>
      </c>
      <c r="C5" s="2" t="inlineStr">
        <is>
          <t>DOOH</t>
        </is>
      </c>
      <c r="D5" s="2" t="inlineStr">
        <is>
          <t>CPM</t>
        </is>
      </c>
      <c r="E5" s="5" t="n">
        <v>100000</v>
      </c>
      <c r="F5" s="5" t="n">
        <v>16434783</v>
      </c>
      <c r="G5" s="5" t="n">
        <v>18489131</v>
      </c>
      <c r="H5" s="5" t="n">
        <v>6163044</v>
      </c>
      <c r="I5" s="5">
        <f>SUM(F5:H5)</f>
        <v/>
      </c>
      <c r="J5" s="7">
        <f>F5/E5*1000</f>
        <v/>
      </c>
      <c r="K5" s="7">
        <f>G5/E5*1000</f>
        <v/>
      </c>
      <c r="L5" s="7">
        <f>H5/E5*1000</f>
        <v/>
      </c>
    </row>
    <row r="6">
      <c r="A6" s="2" t="inlineStr">
        <is>
          <t>Programmatic</t>
        </is>
      </c>
      <c r="B6" s="2" t="inlineStr">
        <is>
          <t>Conversiones</t>
        </is>
      </c>
      <c r="C6" s="2" t="inlineStr">
        <is>
          <t>Remarketing</t>
        </is>
      </c>
      <c r="D6" s="2" t="inlineStr">
        <is>
          <t>CPA</t>
        </is>
      </c>
      <c r="E6" s="5" t="n">
        <v>97000</v>
      </c>
      <c r="F6" s="5" t="n">
        <v>7304336</v>
      </c>
      <c r="G6" s="5" t="n">
        <v>8217378</v>
      </c>
      <c r="H6" s="5" t="n">
        <v>2739126</v>
      </c>
      <c r="I6" s="5">
        <f>SUM(F6:H6)</f>
        <v/>
      </c>
      <c r="J6" s="7">
        <f>F6/E6</f>
        <v/>
      </c>
      <c r="K6" s="7">
        <f>G6/E6</f>
        <v/>
      </c>
      <c r="L6" s="7">
        <f>H6/E6</f>
        <v/>
      </c>
    </row>
    <row r="7">
      <c r="A7" s="2" t="inlineStr">
        <is>
          <t>Programmatic</t>
        </is>
      </c>
      <c r="B7" s="2" t="inlineStr">
        <is>
          <t>Conversiones</t>
        </is>
      </c>
      <c r="C7" s="2" t="inlineStr">
        <is>
          <t>Push</t>
        </is>
      </c>
      <c r="D7" s="2" t="inlineStr">
        <is>
          <t>CPA</t>
        </is>
      </c>
      <c r="E7" s="5" t="n">
        <v>68000</v>
      </c>
      <c r="F7" s="5" t="n">
        <v>7304336</v>
      </c>
      <c r="G7" s="5" t="n">
        <v>8217378</v>
      </c>
      <c r="H7" s="5" t="n">
        <v>2739126</v>
      </c>
      <c r="I7" s="5">
        <f>SUM(F7:H7)</f>
        <v/>
      </c>
      <c r="J7" s="7">
        <f>F7/E7</f>
        <v/>
      </c>
      <c r="K7" s="7">
        <f>G7/E7</f>
        <v/>
      </c>
      <c r="L7" s="7">
        <f>H7/E7</f>
        <v/>
      </c>
    </row>
    <row r="8">
      <c r="A8" s="2" t="inlineStr">
        <is>
          <t>Programmatic</t>
        </is>
      </c>
      <c r="B8" s="2" t="inlineStr">
        <is>
          <t>Optimizacion</t>
        </is>
      </c>
      <c r="C8" s="2" t="inlineStr">
        <is>
          <t>Fee/optimizacion 15%</t>
        </is>
      </c>
      <c r="D8" s="2" t="inlineStr">
        <is>
          <t>-</t>
        </is>
      </c>
      <c r="E8" s="5" t="n"/>
      <c r="F8" s="5" t="n">
        <v>5478261</v>
      </c>
      <c r="G8" s="5" t="n">
        <v>6163043</v>
      </c>
      <c r="H8" s="5" t="n">
        <v>2054348</v>
      </c>
      <c r="I8" s="5">
        <f>SUM(F8:H8)</f>
        <v/>
      </c>
      <c r="J8" s="7" t="inlineStr"/>
      <c r="K8" s="7" t="inlineStr"/>
      <c r="L8" s="7" t="inlineStr"/>
    </row>
    <row r="9">
      <c r="A9" s="2" t="inlineStr">
        <is>
          <t>TikTok</t>
        </is>
      </c>
      <c r="B9" s="2" t="inlineStr">
        <is>
          <t>Awareness</t>
        </is>
      </c>
      <c r="C9" s="2" t="inlineStr">
        <is>
          <t>In-Feed / Reach</t>
        </is>
      </c>
      <c r="D9" s="2" t="inlineStr">
        <is>
          <t>CPM</t>
        </is>
      </c>
      <c r="E9" s="5" t="n">
        <v>8600</v>
      </c>
      <c r="F9" s="5" t="n">
        <v>4173913</v>
      </c>
      <c r="G9" s="5" t="n">
        <v>4695652</v>
      </c>
      <c r="H9" s="5" t="n">
        <v>1565217</v>
      </c>
      <c r="I9" s="5">
        <f>SUM(F9:H9)</f>
        <v/>
      </c>
      <c r="J9" s="7">
        <f>F9/E9*1000</f>
        <v/>
      </c>
      <c r="K9" s="7">
        <f>G9/E9*1000</f>
        <v/>
      </c>
      <c r="L9" s="7">
        <f>H9/E9*1000</f>
        <v/>
      </c>
    </row>
    <row r="10">
      <c r="A10" s="2" t="inlineStr">
        <is>
          <t>TikTok</t>
        </is>
      </c>
      <c r="B10" s="2" t="inlineStr">
        <is>
          <t>Conversiones</t>
        </is>
      </c>
      <c r="C10" s="2" t="inlineStr">
        <is>
          <t>Conversion Ads</t>
        </is>
      </c>
      <c r="D10" s="2" t="inlineStr">
        <is>
          <t>CPA</t>
        </is>
      </c>
      <c r="E10" s="5" t="n">
        <v>55000</v>
      </c>
      <c r="F10" s="5" t="n">
        <v>6260869</v>
      </c>
      <c r="G10" s="5" t="n">
        <v>7043478</v>
      </c>
      <c r="H10" s="5" t="n">
        <v>2347826</v>
      </c>
      <c r="I10" s="5">
        <f>SUM(F10:H10)</f>
        <v/>
      </c>
      <c r="J10" s="7">
        <f>F10/E10</f>
        <v/>
      </c>
      <c r="K10" s="7">
        <f>G10/E10</f>
        <v/>
      </c>
      <c r="L10" s="7">
        <f>H10/E10</f>
        <v/>
      </c>
    </row>
    <row r="11">
      <c r="A11" s="2" t="inlineStr">
        <is>
          <t>TikTok</t>
        </is>
      </c>
      <c r="B11" s="2" t="inlineStr">
        <is>
          <t>Optimizacion</t>
        </is>
      </c>
      <c r="C11" s="2" t="inlineStr">
        <is>
          <t>Fee/optimizacion 15%</t>
        </is>
      </c>
      <c r="D11" s="2" t="inlineStr">
        <is>
          <t>-</t>
        </is>
      </c>
      <c r="E11" s="5" t="n"/>
      <c r="F11" s="5" t="n">
        <v>1565217</v>
      </c>
      <c r="G11" s="5" t="n">
        <v>1760870</v>
      </c>
      <c r="H11" s="5" t="n">
        <v>586957</v>
      </c>
      <c r="I11" s="5">
        <f>SUM(F11:H11)</f>
        <v/>
      </c>
      <c r="J11" s="7" t="inlineStr"/>
      <c r="K11" s="7" t="inlineStr"/>
      <c r="L11" s="7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6" t="inlineStr">
        <is>
          <t>Distribucion por flight y pico Mundial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Flight</t>
        </is>
      </c>
      <c r="B3" s="3" t="inlineStr">
        <is>
          <t>Fechas</t>
        </is>
      </c>
      <c r="C3" s="3" t="inlineStr">
        <is>
          <t>Fase</t>
        </is>
      </c>
      <c r="D3" s="3" t="inlineStr">
        <is>
          <t>Inversion medios</t>
        </is>
      </c>
      <c r="E3" s="3" t="inlineStr">
        <is>
          <t>Peso 3M</t>
        </is>
      </c>
      <c r="F3" s="3" t="inlineStr">
        <is>
          <t>Intencion</t>
        </is>
      </c>
      <c r="G3" s="3" t="inlineStr">
        <is>
          <t>Mix sugerido</t>
        </is>
      </c>
      <c r="H3" s="3" t="inlineStr">
        <is>
          <t>Accion</t>
        </is>
      </c>
    </row>
    <row r="4">
      <c r="A4" s="2" t="inlineStr">
        <is>
          <t>Precalentamiento</t>
        </is>
      </c>
      <c r="B4" s="2" t="inlineStr">
        <is>
          <t>1-10 junio</t>
        </is>
      </c>
      <c r="C4" s="2" t="inlineStr">
        <is>
          <t>Antesala</t>
        </is>
      </c>
      <c r="D4" s="5" t="n">
        <v>8000000</v>
      </c>
      <c r="E4" s="8" t="n">
        <v>0.05925925925925926</v>
      </c>
      <c r="F4" s="2" t="inlineStr">
        <is>
          <t>Awareness</t>
        </is>
      </c>
      <c r="G4" s="2" t="inlineStr">
        <is>
          <t>Display contextual + TikTok reach</t>
        </is>
      </c>
      <c r="H4" s="2" t="inlineStr">
        <is>
          <t>Construir audiencias y listas de remarketing.</t>
        </is>
      </c>
    </row>
    <row r="5">
      <c r="A5" s="2" t="inlineStr">
        <is>
          <t>Opening burst</t>
        </is>
      </c>
      <c r="B5" s="2" t="inlineStr">
        <is>
          <t>11-16 junio</t>
        </is>
      </c>
      <c r="C5" s="2" t="inlineStr">
        <is>
          <t>Apertura Mundial</t>
        </is>
      </c>
      <c r="D5" s="5" t="n">
        <v>16000000</v>
      </c>
      <c r="E5" s="8" t="n">
        <v>0.1185185185185185</v>
      </c>
      <c r="F5" s="2" t="inlineStr">
        <is>
          <t>Awareness alto impacto</t>
        </is>
      </c>
      <c r="G5" s="2" t="inlineStr">
        <is>
          <t>TikTok + DOOH + display</t>
        </is>
      </c>
      <c r="H5" s="2" t="inlineStr">
        <is>
          <t>TopView opcional el 11-jun como toma del dia.</t>
        </is>
      </c>
    </row>
    <row r="6">
      <c r="A6" s="2" t="inlineStr">
        <is>
          <t>Grupos extendido</t>
        </is>
      </c>
      <c r="B6" s="2" t="inlineStr">
        <is>
          <t>17-27 junio</t>
        </is>
      </c>
      <c r="C6" s="2" t="inlineStr">
        <is>
          <t>Fase de grupos</t>
        </is>
      </c>
      <c r="D6" s="5" t="n">
        <v>30000000</v>
      </c>
      <c r="E6" s="8" t="n">
        <v>0.2222222222222222</v>
      </c>
      <c r="F6" s="2" t="inlineStr">
        <is>
          <t>Consideracion + conversion</t>
        </is>
      </c>
      <c r="G6" s="2" t="inlineStr">
        <is>
          <t>DOOH + remarketing + push</t>
        </is>
      </c>
      <c r="H6" s="2" t="inlineStr">
        <is>
          <t>Capturar busquedas y apuestas alrededor de partidos.</t>
        </is>
      </c>
    </row>
    <row r="7">
      <c r="A7" s="2" t="inlineStr">
        <is>
          <t>R32/R16</t>
        </is>
      </c>
      <c r="B7" s="2" t="inlineStr">
        <is>
          <t>28 junio-7 julio</t>
        </is>
      </c>
      <c r="C7" s="2" t="inlineStr">
        <is>
          <t>Eliminacion inicial</t>
        </is>
      </c>
      <c r="D7" s="5" t="n">
        <v>16000000</v>
      </c>
      <c r="E7" s="8" t="n">
        <v>0.1185185185185185</v>
      </c>
      <c r="F7" s="2" t="inlineStr">
        <is>
          <t>Conversion</t>
        </is>
      </c>
      <c r="G7" s="2" t="inlineStr">
        <is>
          <t>Remarketing + TikTok conversion</t>
        </is>
      </c>
      <c r="H7" s="2" t="inlineStr">
        <is>
          <t>Subir frecuencia sobre audiencias calientes.</t>
        </is>
      </c>
    </row>
    <row r="8">
      <c r="A8" s="2" t="inlineStr">
        <is>
          <t>Cuartos</t>
        </is>
      </c>
      <c r="B8" s="2" t="inlineStr">
        <is>
          <t>9-11 julio</t>
        </is>
      </c>
      <c r="C8" s="2" t="inlineStr">
        <is>
          <t>Cuartos de final</t>
        </is>
      </c>
      <c r="D8" s="5" t="n">
        <v>12000000</v>
      </c>
      <c r="E8" s="8" t="n">
        <v>0.08888888888888889</v>
      </c>
      <c r="F8" s="2" t="inlineStr">
        <is>
          <t>Conversion live</t>
        </is>
      </c>
      <c r="G8" s="2" t="inlineStr">
        <is>
          <t>Push + remarketing</t>
        </is>
      </c>
      <c r="H8" s="2" t="inlineStr">
        <is>
          <t>Activar mensajes por ventanas de partido.</t>
        </is>
      </c>
    </row>
    <row r="9">
      <c r="A9" s="2" t="inlineStr">
        <is>
          <t>Semifinales</t>
        </is>
      </c>
      <c r="B9" s="2" t="inlineStr">
        <is>
          <t>14-15 julio</t>
        </is>
      </c>
      <c r="C9" s="2" t="inlineStr">
        <is>
          <t>Semifinales</t>
        </is>
      </c>
      <c r="D9" s="5" t="n">
        <v>14000000</v>
      </c>
      <c r="E9" s="8" t="n">
        <v>0.1037037037037037</v>
      </c>
      <c r="F9" s="2" t="inlineStr">
        <is>
          <t>Awareness + conversion</t>
        </is>
      </c>
      <c r="G9" s="2" t="inlineStr">
        <is>
          <t>TikTok + DOOH + remarketing</t>
        </is>
      </c>
      <c r="H9" s="2" t="inlineStr">
        <is>
          <t>TopView opcional si hay promo/bono de alto impacto.</t>
        </is>
      </c>
    </row>
    <row r="10">
      <c r="A10" s="2" t="inlineStr">
        <is>
          <t>Final burst</t>
        </is>
      </c>
      <c r="B10" s="2" t="inlineStr">
        <is>
          <t>18-19 julio</t>
        </is>
      </c>
      <c r="C10" s="2" t="inlineStr">
        <is>
          <t>Tercer puesto + final</t>
        </is>
      </c>
      <c r="D10" s="5" t="n">
        <v>18750000</v>
      </c>
      <c r="E10" s="8" t="n">
        <v>0.1388888888888889</v>
      </c>
      <c r="F10" s="2" t="inlineStr">
        <is>
          <t>Maximo pico</t>
        </is>
      </c>
      <c r="G10" s="2" t="inlineStr">
        <is>
          <t>TikTok + DOOH + push</t>
        </is>
      </c>
      <c r="H10" s="2" t="inlineStr">
        <is>
          <t>TopView recomendado 19-jul; creativo sound-on 9:16.</t>
        </is>
      </c>
    </row>
    <row r="11">
      <c r="A11" s="2" t="inlineStr">
        <is>
          <t>Post Mundial</t>
        </is>
      </c>
      <c r="B11" s="2" t="inlineStr">
        <is>
          <t>1-31 agosto</t>
        </is>
      </c>
      <c r="C11" s="2" t="inlineStr">
        <is>
          <t>Retencion</t>
        </is>
      </c>
      <c r="D11" s="5" t="n">
        <v>20250000</v>
      </c>
      <c r="E11" s="8" t="n">
        <v>0.15</v>
      </c>
      <c r="F11" s="2" t="inlineStr">
        <is>
          <t>Recaptacion</t>
        </is>
      </c>
      <c r="G11" s="2" t="inlineStr">
        <is>
          <t>Remarketing + push + conversion</t>
        </is>
      </c>
      <c r="H11" s="2" t="inlineStr">
        <is>
          <t>Recuperar usuarios expuestos y sostener registros/depositos.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6" t="inlineStr">
        <is>
          <t>Escenario incremental TikTok TopView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TopView se compra por reserva/CPM y disponibilidad. Completar CPM e impresiones confirmadas por TikTok para estimar inversion incremental.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Opcion</t>
        </is>
      </c>
      <c r="B4" s="3" t="inlineStr">
        <is>
          <t>Fecha sugerida</t>
        </is>
      </c>
      <c r="C4" s="3" t="inlineStr">
        <is>
          <t>Momento</t>
        </is>
      </c>
      <c r="D4" s="3" t="inlineStr">
        <is>
          <t>Rol</t>
        </is>
      </c>
      <c r="E4" s="3" t="inlineStr">
        <is>
          <t>CPM TopView COP</t>
        </is>
      </c>
      <c r="F4" s="3" t="inlineStr">
        <is>
          <t>Impresiones reservadas</t>
        </is>
      </c>
      <c r="G4" s="3" t="inlineStr">
        <is>
          <t>Inversion incremental</t>
        </is>
      </c>
      <c r="H4" s="3" t="inlineStr">
        <is>
          <t>Creativo ejemplo</t>
        </is>
      </c>
      <c r="I4" s="3" t="inlineStr">
        <is>
          <t>Notas</t>
        </is>
      </c>
    </row>
    <row r="5">
      <c r="A5" s="2" t="inlineStr">
        <is>
          <t>A</t>
        </is>
      </c>
      <c r="B5" s="2" t="inlineStr">
        <is>
          <t>11 junio</t>
        </is>
      </c>
      <c r="C5" s="2" t="inlineStr">
        <is>
          <t>Opening match</t>
        </is>
      </c>
      <c r="D5" s="2" t="inlineStr">
        <is>
          <t>Own the day / awareness</t>
        </is>
      </c>
      <c r="E5" s="5" t="n"/>
      <c r="F5" s="7" t="n"/>
      <c r="G5" s="5">
        <f>IF(AND(E5&gt;0,F5&gt;0),E5*F5/1000,"A cotizar")</f>
        <v/>
      </c>
      <c r="H5" s="2" t="inlineStr">
        <is>
          <t>Countdown + bono de bienvenida</t>
        </is>
      </c>
      <c r="I5" s="2" t="inlineStr">
        <is>
          <t>Reservar minimo 60 dias antes si se busca 100% de impresiones.</t>
        </is>
      </c>
    </row>
    <row r="6">
      <c r="A6" s="2" t="inlineStr">
        <is>
          <t>B</t>
        </is>
      </c>
      <c r="B6" s="2" t="inlineStr">
        <is>
          <t>14 o 15 julio</t>
        </is>
      </c>
      <c r="C6" s="2" t="inlineStr">
        <is>
          <t>Semifinal</t>
        </is>
      </c>
      <c r="D6" s="2" t="inlineStr">
        <is>
          <t>Alto impacto previo a final</t>
        </is>
      </c>
      <c r="E6" s="5" t="n"/>
      <c r="F6" s="7" t="n"/>
      <c r="G6" s="5">
        <f>IF(AND(E6&gt;0,F6&gt;0),E6*F6/1000,"A cotizar")</f>
        <v/>
      </c>
      <c r="H6" s="2" t="inlineStr">
        <is>
          <t>Pick del dia + live odds</t>
        </is>
      </c>
      <c r="I6" s="2" t="inlineStr">
        <is>
          <t>Usar Spark o Non-Spark segun aprobacion y cuenta.</t>
        </is>
      </c>
    </row>
    <row r="7">
      <c r="A7" s="2" t="inlineStr">
        <is>
          <t>C</t>
        </is>
      </c>
      <c r="B7" s="2" t="inlineStr">
        <is>
          <t>19 julio</t>
        </is>
      </c>
      <c r="C7" s="2" t="inlineStr">
        <is>
          <t>Final Mundial</t>
        </is>
      </c>
      <c r="D7" s="2" t="inlineStr">
        <is>
          <t>Maximo pico de conversacion</t>
        </is>
      </c>
      <c r="E7" s="5" t="n"/>
      <c r="F7" s="7" t="n"/>
      <c r="G7" s="5">
        <f>IF(AND(E7&gt;0,F7&gt;0),E7*F7/1000,"A cotizar")</f>
        <v/>
      </c>
      <c r="H7" s="2" t="inlineStr">
        <is>
          <t>Final call + registro/deposito</t>
        </is>
      </c>
      <c r="I7" s="2" t="inlineStr">
        <is>
          <t>Recomendado si existe oferta comercial potente.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9" t="inlineStr">
        <is>
          <t>Specs creativas clave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10" t="inlineStr">
        <is>
          <t>Formato</t>
        </is>
      </c>
      <c r="B11" s="2" t="inlineStr">
        <is>
          <t>Video vertical 9:16, minimo 540x960, .mp4/.mov/.mpeg/.3gp, 5-60s recomendado 9-15s.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10" t="inlineStr">
        <is>
          <t>Experiencia</t>
        </is>
      </c>
      <c r="B12" s="2" t="inlineStr">
        <is>
          <t>Primer video al abrir TikTok: takeover inicial de 3s y luego transicion a experiencia in-feed.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10" t="inlineStr">
        <is>
          <t>Audio</t>
        </is>
      </c>
      <c r="B13" s="2" t="inlineStr">
        <is>
          <t>Sound-on; evitar silencios y sonidos agresivos en primeros segundos.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10" t="inlineStr">
        <is>
          <t>Safe zones</t>
        </is>
      </c>
      <c r="B14" s="2" t="inlineStr">
        <is>
          <t>Mantener logo/textos fuera de zonas de UI, skip, caption y botones; validar con preview tool.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10" t="inlineStr">
        <is>
          <t>Operativo</t>
        </is>
      </c>
      <c r="B15" s="2" t="inlineStr">
        <is>
          <t>Creativo con pre-aprobacion; TikTok indica revision de activos en 2 dias.</t>
        </is>
      </c>
      <c r="C15" s="2" t="n"/>
      <c r="D15" s="2" t="n"/>
      <c r="E15" s="2" t="n"/>
      <c r="F15" s="2" t="n"/>
      <c r="G15" s="2" t="n"/>
      <c r="H15" s="2" t="n"/>
      <c r="I15" s="2" t="n"/>
    </row>
  </sheetData>
  <mergeCells count="8">
    <mergeCell ref="B12:I12"/>
    <mergeCell ref="B13:I13"/>
    <mergeCell ref="A2:I2"/>
    <mergeCell ref="B15:I15"/>
    <mergeCell ref="A10:I10"/>
    <mergeCell ref="B11:I11"/>
    <mergeCell ref="A1:I1"/>
    <mergeCell ref="B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2026-06-02T16:48:55Z</dcterms:created>
  <dcterms:modified xmlns:dcterms="http://purl.org/dc/terms/" xmlns:xsi="http://www.w3.org/2001/XMLSchema-instance" xsi:type="dcterms:W3CDTF">2026-06-02T16:48:55Z</dcterms:modified>
</cp:coreProperties>
</file>